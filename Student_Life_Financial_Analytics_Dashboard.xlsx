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f316c7a584095/Documents/Documents/Desktop/Student_Life_Financial_Analytics_Dashboard/"/>
    </mc:Choice>
  </mc:AlternateContent>
  <xr:revisionPtr revIDLastSave="0" documentId="8_{D63095C5-A4DD-4275-AC27-3A3C80494B6F}" xr6:coauthVersionLast="47" xr6:coauthVersionMax="47" xr10:uidLastSave="{00000000-0000-0000-0000-000000000000}"/>
  <bookViews>
    <workbookView xWindow="-120" yWindow="-120" windowWidth="20730" windowHeight="11040" firstSheet="2" activeTab="8" xr2:uid="{AC503547-C62F-4B7F-8594-EB8EC3B49BA1}"/>
  </bookViews>
  <sheets>
    <sheet name="Raw_Data" sheetId="2" r:id="rId1"/>
    <sheet name="Clean_Data_View" sheetId="1" r:id="rId2"/>
    <sheet name="Calculation" sheetId="6" r:id="rId3"/>
    <sheet name="Pivot1" sheetId="7" r:id="rId4"/>
    <sheet name="Pivot2" sheetId="8" r:id="rId5"/>
    <sheet name="Pivot3" sheetId="9" r:id="rId6"/>
    <sheet name="Pivot4" sheetId="10" r:id="rId7"/>
    <sheet name="Pivot5" sheetId="11" r:id="rId8"/>
    <sheet name="Dashboard" sheetId="4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6" l="1"/>
  <c r="B8" i="6"/>
  <c r="B15" i="6"/>
  <c r="B14" i="6"/>
  <c r="B13" i="6"/>
  <c r="B12" i="6"/>
  <c r="B11" i="6"/>
  <c r="B10" i="6"/>
  <c r="B9" i="6"/>
  <c r="B16" i="6"/>
  <c r="B6" i="6"/>
  <c r="B5" i="6"/>
</calcChain>
</file>

<file path=xl/sharedStrings.xml><?xml version="1.0" encoding="utf-8"?>
<sst xmlns="http://schemas.openxmlformats.org/spreadsheetml/2006/main" count="625" uniqueCount="197">
  <si>
    <t>Date,Day,Category,Subcategory,Amount,Mood,Energy Level,Location,Payment Method,Reason</t>
  </si>
  <si>
    <t>01-Apr,Monday,Food,Takeaway,120,Happy,High,Mall,Cash,Social outing</t>
  </si>
  <si>
    <t>01-Apr,Monday,Transport,Taxi,50,Neutral,Medium,Street,Cash,University commute</t>
  </si>
  <si>
    <t>01-Apr,Monday,Bills,Electricity,300,Stressed,Low,Home,EFT,Monthly bill</t>
  </si>
  <si>
    <t>02-Apr,Tuesday,Savings,Emergency Fund,200,Proud,High,Online,Bank Transfer,Financial discipline</t>
  </si>
  <si>
    <t>02-Apr,Tuesday,Entertainment,Netflix,99,Happy,Medium,Home,Card,Relaxing</t>
  </si>
  <si>
    <t>02-Apr,Tuesday,Food,Groceries,180,Neutral,Medium,Supermarket,Card,Stocking up</t>
  </si>
  <si>
    <t>03-Apr,Wednesday,Transport,Bus,30,Neutral,Medium,Street,Cash,Travel to campus</t>
  </si>
  <si>
    <t>03-Apr,Wednesday,Food,Coffee Shop,45,Happy,High,Cafe,Card,Study break</t>
  </si>
  <si>
    <t>03-Apr,Wednesday,Bills,Data Bundle,150,Stressed,Low,Online,EFT,Internet purchase</t>
  </si>
  <si>
    <t>04-Apr,Thursday,Food,Restaurant,220,Excited,High,Mall,Card,Celebration</t>
  </si>
  <si>
    <t>04-Apr,Thursday,Savings,Investments,300,Proud,High,Online,Bank Transfer,Long-term savings</t>
  </si>
  <si>
    <t>04-Apr,Thursday,Entertainment,Movies,120,Happy,High,Cinema,Card,Weekend fun</t>
  </si>
  <si>
    <t>05-Apr,Friday,Transport,Taxi,60,Neutral,Medium,Street,Cash,Going out</t>
  </si>
  <si>
    <t>05-Apr,Friday,Food,Fast Food,90,Happy,High,Restaurant,Cash,Quick meal</t>
  </si>
  <si>
    <t>05-Apr,Friday,Bills,Rent,1500,Stressed,Low,Home,EFT,Monthly rent</t>
  </si>
  <si>
    <t>06-Apr,Saturday,Entertainment,Shopping,400,Excited,High,Mall,Card,Self reward</t>
  </si>
  <si>
    <t>06-Apr,Saturday,Food,Groceries,200,Neutral,Medium,Supermarket,Card,Weekly groceries</t>
  </si>
  <si>
    <t>07-Apr,Sunday,Food,Restaurant,180,Happy,High,Cafe,Card,Family outing</t>
  </si>
  <si>
    <t>07-Apr,Sunday,Entertainment,Streaming,99,Relaxed,Low,Home,Card,Rest day</t>
  </si>
  <si>
    <t>08-Apr,Monday,Bills,Water,120,Stressed,Low,Home,EFT,Utility bill</t>
  </si>
  <si>
    <t>08-Apr,Monday,Savings,Investments,300,Proud,High,Online,Bank Transfer,Future planning</t>
  </si>
  <si>
    <t>09-Apr,Tuesday,Transport,Bus,25,Neutral,Medium,Street,Cash,Daily commute</t>
  </si>
  <si>
    <t>09-Apr,Tuesday,Food,Coffee,40,Happy,High,Cafe,Card,Morning boost</t>
  </si>
  <si>
    <t>09-Apr,Tuesday,Entertainment,Games,150,Excited,High,Home,Card,Gaming session</t>
  </si>
  <si>
    <t>10-Apr,Wednesday,Bills,Internet,200,Stressed,Low,Home,EFT,Monthly subscription</t>
  </si>
  <si>
    <t>10-Apr,Wednesday,Food,Groceries,170,Neutral,Medium,Supermarket,Card,Home stock</t>
  </si>
  <si>
    <t>10-Apr,Wednesday,Savings,Emergency Fund,300,Proud,High,Online,Bank Transfer,Consistency</t>
  </si>
  <si>
    <t>11-Apr,Thursday,Food,Takeaway,130,Happy,High,Mall,Cash,Busy day meal</t>
  </si>
  <si>
    <t>11-Apr,Thursday,Transport,Taxi,55,Neutral,Medium,Street,Cash,Travel</t>
  </si>
  <si>
    <t>11-Apr,Thursday,Entertainment,Movies,140,Excited,High,Cinema,Card,Weekend outing</t>
  </si>
  <si>
    <t>12-Apr,Friday,Bills,Electricity,280,Stressed,Low,Home,EFT,Monthly bill</t>
  </si>
  <si>
    <t>12-Apr,Friday,Food,Fast Food,95,Happy,High,Restaurant,Cash,Quick food</t>
  </si>
  <si>
    <t>12-Apr,Friday,Savings,Investments,300,Proud,High,Online,Bank Transfer,Financial growth</t>
  </si>
  <si>
    <t>13-Apr,Saturday,Entertainment,Shopping,500,Excited,High,Mall,Card,Clothing purchase</t>
  </si>
  <si>
    <t>13-Apr,Saturday,Food,Groceries,210,Neutral,Medium,Supermarket,Card,Weekly shopping</t>
  </si>
  <si>
    <t>13-Apr,Saturday,Transport,Bus,35,Neutral,Medium,Street,Cash,Travel</t>
  </si>
  <si>
    <t>14-Apr,Sunday,Food,Restaurant,190,Happy,High,Cafe,Card,Family time</t>
  </si>
  <si>
    <t>14-Apr,Sunday,Entertainment,Streaming,99,Relaxed,Low,Home,Card,Rest day</t>
  </si>
  <si>
    <t>15-Apr,Monday,Bills,Internet,210,Stressed,Low,Home,EFT,Monthly subscription</t>
  </si>
  <si>
    <t>15-Apr,Monday,Savings,Emergency Fund,300,Proud,High,Online,Bank Transfer,Consistency</t>
  </si>
  <si>
    <t>15-Apr,Monday,Food,Coffee Shop,50,Happy,High,Cafe,Card,Study break</t>
  </si>
  <si>
    <t>16-Apr,Tuesday,Transport,Taxi,65,Neutral,Medium,Street,Cash,Campus trip</t>
  </si>
  <si>
    <t>16-Apr,Tuesday,Food,Takeaway,140,Happy,High,Mall,Cash,Social meal</t>
  </si>
  <si>
    <t>16-Apr,Tuesday,Entertainment,Games,160,Excited,High,Home,Card,Relaxation</t>
  </si>
  <si>
    <t>17-Apr,Wednesday,Bills,Water,110,Stressed,Low,Home,EFT,Utility bill</t>
  </si>
  <si>
    <t>17-Apr,Wednesday,Food,Groceries,180,Neutral,Medium,Supermarket,Card,Stocking up</t>
  </si>
  <si>
    <t>17-Apr,Wednesday,Savings,Investments,300,Proud,High,Online,Bank Transfer,Long-term saving</t>
  </si>
  <si>
    <t>18-Apr,Thursday,Food,Restaurant,230,Excited,High,Cafe,Card,Celebration</t>
  </si>
  <si>
    <t>18-Apr,Thursday,Transport,Bus,30,Neutral,Medium,Street,Cash,Travel</t>
  </si>
  <si>
    <t>18-Apr,Thursday,Entertainment,Movies,130,Happy,High,Cinema,Card,Weekend fun</t>
  </si>
  <si>
    <t>19-Apr,Friday,Bills,Rent,1500,Stressed,Low,Home,EFT,Monthly rent</t>
  </si>
  <si>
    <t>19-Apr,Friday,Food,Fast Food,100,Happy,High,Restaurant,Cash,Quick meal</t>
  </si>
  <si>
    <t>19-Apr,Friday,Savings,Emergency Fund,300,Proud,High,Online,Bank Transfer,Financial discipline</t>
  </si>
  <si>
    <t>20-Apr,Saturday,Entertainment,Shopping,450,Excited,High,Mall,Card,Self reward</t>
  </si>
  <si>
    <t>20-Apr,Saturday,Food,Groceries,220,Neutral,Medium,Supermarket,Card,Weekly groceries</t>
  </si>
  <si>
    <t>Date</t>
  </si>
  <si>
    <t>Day</t>
  </si>
  <si>
    <t>Category</t>
  </si>
  <si>
    <t>Subcategory</t>
  </si>
  <si>
    <t>Amount</t>
  </si>
  <si>
    <t>Mood</t>
  </si>
  <si>
    <t>Energy Level</t>
  </si>
  <si>
    <t>Location</t>
  </si>
  <si>
    <t>Payment Method</t>
  </si>
  <si>
    <t>Reason</t>
  </si>
  <si>
    <t>Monday</t>
  </si>
  <si>
    <t>Food</t>
  </si>
  <si>
    <t>Takeaway</t>
  </si>
  <si>
    <t>Happy</t>
  </si>
  <si>
    <t>High</t>
  </si>
  <si>
    <t>Mall</t>
  </si>
  <si>
    <t>Cash</t>
  </si>
  <si>
    <t>Social outing</t>
  </si>
  <si>
    <t>Transport</t>
  </si>
  <si>
    <t>Taxi</t>
  </si>
  <si>
    <t>Neutral</t>
  </si>
  <si>
    <t>Medium</t>
  </si>
  <si>
    <t>Street</t>
  </si>
  <si>
    <t>University commute</t>
  </si>
  <si>
    <t>Bills</t>
  </si>
  <si>
    <t>Electricity</t>
  </si>
  <si>
    <t>Stressed</t>
  </si>
  <si>
    <t>Low</t>
  </si>
  <si>
    <t>Home</t>
  </si>
  <si>
    <t>EFT</t>
  </si>
  <si>
    <t>Monthly bill</t>
  </si>
  <si>
    <t>Tuesday</t>
  </si>
  <si>
    <t>Savings</t>
  </si>
  <si>
    <t>Emergency Fund</t>
  </si>
  <si>
    <t>Proud</t>
  </si>
  <si>
    <t>Online</t>
  </si>
  <si>
    <t>Bank Transfer</t>
  </si>
  <si>
    <t>Financial discipline</t>
  </si>
  <si>
    <t>Entertainment</t>
  </si>
  <si>
    <t>Netflix</t>
  </si>
  <si>
    <t>Card</t>
  </si>
  <si>
    <t>Relaxing</t>
  </si>
  <si>
    <t>Groceries</t>
  </si>
  <si>
    <t>Supermarket</t>
  </si>
  <si>
    <t>Stocking up</t>
  </si>
  <si>
    <t>Wednesday</t>
  </si>
  <si>
    <t>Bus</t>
  </si>
  <si>
    <t>Travel to campus</t>
  </si>
  <si>
    <t>Coffee Shop</t>
  </si>
  <si>
    <t>Cafe</t>
  </si>
  <si>
    <t>Study break</t>
  </si>
  <si>
    <t>Data Bundle</t>
  </si>
  <si>
    <t>Internet purchase</t>
  </si>
  <si>
    <t>Thursday</t>
  </si>
  <si>
    <t>Restaurant</t>
  </si>
  <si>
    <t>Excited</t>
  </si>
  <si>
    <t>Celebration</t>
  </si>
  <si>
    <t>Investments</t>
  </si>
  <si>
    <t>Long-term savings</t>
  </si>
  <si>
    <t>Movies</t>
  </si>
  <si>
    <t>Cinema</t>
  </si>
  <si>
    <t>Weekend fun</t>
  </si>
  <si>
    <t>Friday</t>
  </si>
  <si>
    <t>Going out</t>
  </si>
  <si>
    <t>Fast Food</t>
  </si>
  <si>
    <t>Quick meal</t>
  </si>
  <si>
    <t>Rent</t>
  </si>
  <si>
    <t>Monthly rent</t>
  </si>
  <si>
    <t>Saturday</t>
  </si>
  <si>
    <t>Shopping</t>
  </si>
  <si>
    <t>Self reward</t>
  </si>
  <si>
    <t>Weekly groceries</t>
  </si>
  <si>
    <t>Sunday</t>
  </si>
  <si>
    <t>Family outing</t>
  </si>
  <si>
    <t>Streaming</t>
  </si>
  <si>
    <t>Relaxed</t>
  </si>
  <si>
    <t>Rest day</t>
  </si>
  <si>
    <t>Water</t>
  </si>
  <si>
    <t>Utility bill</t>
  </si>
  <si>
    <t>Future planning</t>
  </si>
  <si>
    <t>Daily commute</t>
  </si>
  <si>
    <t>Coffee</t>
  </si>
  <si>
    <t>Morning boost</t>
  </si>
  <si>
    <t>Games</t>
  </si>
  <si>
    <t>Gaming session</t>
  </si>
  <si>
    <t>Internet</t>
  </si>
  <si>
    <t>Monthly subscription</t>
  </si>
  <si>
    <t>Home stock</t>
  </si>
  <si>
    <t>Consistency</t>
  </si>
  <si>
    <t>Busy day meal</t>
  </si>
  <si>
    <t>Travel</t>
  </si>
  <si>
    <t>Weekend outing</t>
  </si>
  <si>
    <t>Quick food</t>
  </si>
  <si>
    <t>Financial growth</t>
  </si>
  <si>
    <t>Clothing purchase</t>
  </si>
  <si>
    <t>Weekly shopping</t>
  </si>
  <si>
    <t>Family time</t>
  </si>
  <si>
    <t>Campus trip</t>
  </si>
  <si>
    <t>Social meal</t>
  </si>
  <si>
    <t>Relaxation</t>
  </si>
  <si>
    <t>Long-term saving</t>
  </si>
  <si>
    <t>Family Lunch</t>
  </si>
  <si>
    <t>Monthly Bill</t>
  </si>
  <si>
    <t>Future Savings</t>
  </si>
  <si>
    <t>21-Apr,Sunday,Food,Restaurant,200,Happy,High,Cafe,Card,Family lunch</t>
  </si>
  <si>
    <t>21-Apr,Sunday,Entertainment,Streaming,99,Relaxed,Low,Home,Card,Rest day</t>
  </si>
  <si>
    <t>22-Apr,Monday,Bills,Electricity,290,Stressed,Low,Home,EFT,Monthly bill</t>
  </si>
  <si>
    <t>22-Apr,Monday,Food,Groceries,190,Neutral,Medium,Supermarket,Card,Stocking up</t>
  </si>
  <si>
    <t>22-Apr,Monday,Savings,Investments,300,Proud,High,Online,Bank Transfer,Long-term savings</t>
  </si>
  <si>
    <t>Student Life Money &amp; Mood Dashboard</t>
  </si>
  <si>
    <t>KPI</t>
  </si>
  <si>
    <t>Value</t>
  </si>
  <si>
    <t>Total Spending</t>
  </si>
  <si>
    <t>Total Savings</t>
  </si>
  <si>
    <t>Happy Days</t>
  </si>
  <si>
    <t>Food Spending</t>
  </si>
  <si>
    <t>Savings Rate %</t>
  </si>
  <si>
    <t>Average Spending</t>
  </si>
  <si>
    <t>Transport Spending</t>
  </si>
  <si>
    <t>Bills Spending</t>
  </si>
  <si>
    <t>Entertainment Spending</t>
  </si>
  <si>
    <t>Stressed Days</t>
  </si>
  <si>
    <t>Neutral Days</t>
  </si>
  <si>
    <t>Highest Spending Amount</t>
  </si>
  <si>
    <t>CALCULATIONS</t>
  </si>
  <si>
    <t>Row Labels</t>
  </si>
  <si>
    <t>Grand Total</t>
  </si>
  <si>
    <t>Sum of Amount</t>
  </si>
  <si>
    <t>Count of Mood</t>
  </si>
  <si>
    <t>COUNT OF MOODS</t>
  </si>
  <si>
    <t>SPENDING BY MOOD</t>
  </si>
  <si>
    <t>SPENDING BY CATEGORY</t>
  </si>
  <si>
    <t>Spending by Category</t>
  </si>
  <si>
    <t>Spending by Mood</t>
  </si>
  <si>
    <t>Count of Payment Method</t>
  </si>
  <si>
    <t>Payment Method Distribution</t>
  </si>
  <si>
    <t>PAYMENT METHOD DISTRIBUTION</t>
  </si>
  <si>
    <t>Spending by Location</t>
  </si>
  <si>
    <t>SPENDING BY LOCATION</t>
  </si>
  <si>
    <t>STUDENT LIFE FINANCIAL ANALYTICS DASHBOARD</t>
  </si>
  <si>
    <r>
      <t>I</t>
    </r>
    <r>
      <rPr>
        <b/>
        <sz val="12"/>
        <color theme="1"/>
        <rFont val="Aptos Narrow"/>
        <family val="2"/>
        <scheme val="minor"/>
      </rPr>
      <t>nsights_Report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</si>
</sst>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660066"/>
      <name val="Times New Roman"/>
      <family val="1"/>
    </font>
    <font>
      <sz val="26"/>
      <color theme="2" tint="-0.89999084444715716"/>
      <name val="Times New Roman"/>
      <family val="1"/>
    </font>
    <font>
      <sz val="12"/>
      <color theme="1"/>
      <name val="Times New Roman"/>
      <family val="1"/>
    </font>
    <font>
      <b/>
      <sz val="12"/>
      <color theme="2" tint="-0.74999237037263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2" tint="-0.74999237037263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16" fontId="1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/>
    <xf numFmtId="10" fontId="0" fillId="0" borderId="1" xfId="1" applyNumberFormat="1" applyFont="1" applyBorder="1"/>
    <xf numFmtId="0" fontId="5" fillId="2" borderId="1" xfId="0" applyFont="1" applyFill="1" applyBorder="1"/>
  </cellXfs>
  <cellStyles count="2">
    <cellStyle name="Normal" xfId="0" builtinId="0"/>
    <cellStyle name="Percent" xfId="1" builtinId="5"/>
  </cellStyles>
  <dxfs count="1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[Student_Life_Financial_Analytics_Dashboard.xlsx]Pivot1!PivotTable1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Pivot1!$B$4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94-49F4-BF23-57FB9268C0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94-49F4-BF23-57FB9268C0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94-49F4-BF23-57FB9268C0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94-49F4-BF23-57FB9268C0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94-49F4-BF23-57FB9268C0FB}"/>
              </c:ext>
            </c:extLst>
          </c:dPt>
          <c:cat>
            <c:strRef>
              <c:f>Pivot1!$A$5:$A$10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Savings</c:v>
                </c:pt>
                <c:pt idx="4">
                  <c:v>Transport</c:v>
                </c:pt>
              </c:strCache>
            </c:strRef>
          </c:cat>
          <c:val>
            <c:numRef>
              <c:f>Pivot1!$B$5:$B$10</c:f>
              <c:numCache>
                <c:formatCode>General</c:formatCode>
                <c:ptCount val="5"/>
                <c:pt idx="0">
                  <c:v>4660</c:v>
                </c:pt>
                <c:pt idx="1">
                  <c:v>2446</c:v>
                </c:pt>
                <c:pt idx="2">
                  <c:v>3180</c:v>
                </c:pt>
                <c:pt idx="3">
                  <c:v>2600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94-49F4-BF23-57FB9268C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[Student_Life_Financial_Analytics_Dashboard.xlsx]Pivot2!PivotTable2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Pivot2!$A$5:$A$11</c:f>
              <c:strCache>
                <c:ptCount val="6"/>
                <c:pt idx="0">
                  <c:v>Excited</c:v>
                </c:pt>
                <c:pt idx="1">
                  <c:v>Happy</c:v>
                </c:pt>
                <c:pt idx="2">
                  <c:v>Neutral</c:v>
                </c:pt>
                <c:pt idx="3">
                  <c:v>Proud</c:v>
                </c:pt>
                <c:pt idx="4">
                  <c:v>Relaxed</c:v>
                </c:pt>
                <c:pt idx="5">
                  <c:v>Stressed</c:v>
                </c:pt>
              </c:strCache>
            </c:strRef>
          </c:cat>
          <c:val>
            <c:numRef>
              <c:f>Pivot2!$B$5:$B$11</c:f>
              <c:numCache>
                <c:formatCode>General</c:formatCode>
                <c:ptCount val="6"/>
                <c:pt idx="0">
                  <c:v>2250</c:v>
                </c:pt>
                <c:pt idx="1">
                  <c:v>1729</c:v>
                </c:pt>
                <c:pt idx="2">
                  <c:v>1700</c:v>
                </c:pt>
                <c:pt idx="3">
                  <c:v>2600</c:v>
                </c:pt>
                <c:pt idx="4">
                  <c:v>297</c:v>
                </c:pt>
                <c:pt idx="5">
                  <c:v>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3-4D59-A325-F10A1690C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544912"/>
        <c:axId val="657545272"/>
      </c:barChart>
      <c:catAx>
        <c:axId val="65754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45272"/>
        <c:crosses val="autoZero"/>
        <c:auto val="1"/>
        <c:lblAlgn val="ctr"/>
        <c:lblOffset val="100"/>
        <c:noMultiLvlLbl val="0"/>
      </c:catAx>
      <c:valAx>
        <c:axId val="65754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[Student_Life_Financial_Analytics_Dashboard.xlsx]Pivot1!PivotTable1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Pivot1!$A$5:$A$10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Savings</c:v>
                </c:pt>
                <c:pt idx="4">
                  <c:v>Transport</c:v>
                </c:pt>
              </c:strCache>
            </c:strRef>
          </c:cat>
          <c:val>
            <c:numRef>
              <c:f>Pivot1!$B$5:$B$10</c:f>
              <c:numCache>
                <c:formatCode>General</c:formatCode>
                <c:ptCount val="5"/>
                <c:pt idx="0">
                  <c:v>4660</c:v>
                </c:pt>
                <c:pt idx="1">
                  <c:v>2446</c:v>
                </c:pt>
                <c:pt idx="2">
                  <c:v>3180</c:v>
                </c:pt>
                <c:pt idx="3">
                  <c:v>2600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3-4033-8DFC-386D8B173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432152"/>
        <c:axId val="746430352"/>
      </c:barChart>
      <c:catAx>
        <c:axId val="74643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30352"/>
        <c:crosses val="autoZero"/>
        <c:auto val="1"/>
        <c:lblAlgn val="ctr"/>
        <c:lblOffset val="100"/>
        <c:noMultiLvlLbl val="0"/>
      </c:catAx>
      <c:valAx>
        <c:axId val="74643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3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[Student_Life_Financial_Analytics_Dashboard.xlsx]Pivot4!PivotTable1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Pivot4!$B$4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57-4DC3-9FA3-B0337C091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57-4DC3-9FA3-B0337C091D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57-4DC3-9FA3-B0337C091D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57-4DC3-9FA3-B0337C091D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57-4DC3-9FA3-B0337C091D85}"/>
              </c:ext>
            </c:extLst>
          </c:dPt>
          <c:cat>
            <c:strRef>
              <c:f>Pivot4!$A$5:$A$10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EFT</c:v>
                </c:pt>
                <c:pt idx="4">
                  <c:v>Online</c:v>
                </c:pt>
              </c:strCache>
            </c:strRef>
          </c:cat>
          <c:val>
            <c:numRef>
              <c:f>Pivot4!$B$5:$B$10</c:f>
              <c:numCache>
                <c:formatCode>General</c:formatCode>
                <c:ptCount val="5"/>
                <c:pt idx="0">
                  <c:v>8</c:v>
                </c:pt>
                <c:pt idx="1">
                  <c:v>27</c:v>
                </c:pt>
                <c:pt idx="2">
                  <c:v>14</c:v>
                </c:pt>
                <c:pt idx="3">
                  <c:v>10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57-4DC3-9FA3-B0337C09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[Student_Life_Financial_Analytics_Dashboard.xlsx]Pivot5!PivotTable2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Pivot5!$B$4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Pivot5!$A$5:$A$13</c:f>
              <c:strCache>
                <c:ptCount val="8"/>
                <c:pt idx="0">
                  <c:v>Cafe</c:v>
                </c:pt>
                <c:pt idx="1">
                  <c:v>Cinema</c:v>
                </c:pt>
                <c:pt idx="2">
                  <c:v>Home</c:v>
                </c:pt>
                <c:pt idx="3">
                  <c:v>Mall</c:v>
                </c:pt>
                <c:pt idx="4">
                  <c:v>Online</c:v>
                </c:pt>
                <c:pt idx="5">
                  <c:v>Restaurant</c:v>
                </c:pt>
                <c:pt idx="6">
                  <c:v>Street</c:v>
                </c:pt>
                <c:pt idx="7">
                  <c:v>Supermarket</c:v>
                </c:pt>
              </c:strCache>
            </c:strRef>
          </c:cat>
          <c:val>
            <c:numRef>
              <c:f>Pivot5!$B$5:$B$13</c:f>
              <c:numCache>
                <c:formatCode>General</c:formatCode>
                <c:ptCount val="8"/>
                <c:pt idx="0">
                  <c:v>935</c:v>
                </c:pt>
                <c:pt idx="1">
                  <c:v>390</c:v>
                </c:pt>
                <c:pt idx="2">
                  <c:v>4926</c:v>
                </c:pt>
                <c:pt idx="3">
                  <c:v>1960</c:v>
                </c:pt>
                <c:pt idx="4">
                  <c:v>2750</c:v>
                </c:pt>
                <c:pt idx="5">
                  <c:v>285</c:v>
                </c:pt>
                <c:pt idx="6">
                  <c:v>640</c:v>
                </c:pt>
                <c:pt idx="7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4-46D1-B0A7-8B471CC66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443312"/>
        <c:axId val="746444752"/>
      </c:barChart>
      <c:catAx>
        <c:axId val="74644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4752"/>
        <c:crosses val="autoZero"/>
        <c:auto val="1"/>
        <c:lblAlgn val="ctr"/>
        <c:lblOffset val="100"/>
        <c:noMultiLvlLbl val="0"/>
      </c:catAx>
      <c:valAx>
        <c:axId val="7464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</xdr:row>
      <xdr:rowOff>38099</xdr:rowOff>
    </xdr:from>
    <xdr:to>
      <xdr:col>7</xdr:col>
      <xdr:colOff>590550</xdr:colOff>
      <xdr:row>8</xdr:row>
      <xdr:rowOff>9524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46B4858-496B-8C83-D722-CAD2B4D1471A}"/>
            </a:ext>
          </a:extLst>
        </xdr:cNvPr>
        <xdr:cNvSpPr/>
      </xdr:nvSpPr>
      <xdr:spPr>
        <a:xfrm>
          <a:off x="3076575" y="228599"/>
          <a:ext cx="1781175" cy="733425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>
              <a:solidFill>
                <a:sysClr val="windowText" lastClr="000000"/>
              </a:solidFill>
            </a:rPr>
            <a:t>Total Savings</a:t>
          </a:r>
        </a:p>
        <a:p>
          <a:pPr algn="l"/>
          <a:r>
            <a:rPr lang="en-ZA" sz="1400">
              <a:solidFill>
                <a:sysClr val="windowText" lastClr="000000"/>
              </a:solidFill>
            </a:rPr>
            <a:t>2600</a:t>
          </a:r>
        </a:p>
      </xdr:txBody>
    </xdr:sp>
    <xdr:clientData/>
  </xdr:twoCellAnchor>
  <xdr:twoCellAnchor>
    <xdr:from>
      <xdr:col>9</xdr:col>
      <xdr:colOff>38101</xdr:colOff>
      <xdr:row>4</xdr:row>
      <xdr:rowOff>38100</xdr:rowOff>
    </xdr:from>
    <xdr:to>
      <xdr:col>12</xdr:col>
      <xdr:colOff>1</xdr:colOff>
      <xdr:row>7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D1AEF13-5128-2898-F153-29059EE1ACB4}"/>
            </a:ext>
          </a:extLst>
        </xdr:cNvPr>
        <xdr:cNvSpPr/>
      </xdr:nvSpPr>
      <xdr:spPr>
        <a:xfrm>
          <a:off x="5524501" y="228600"/>
          <a:ext cx="1790700" cy="714375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 b="0">
              <a:solidFill>
                <a:sysClr val="windowText" lastClr="000000"/>
              </a:solidFill>
            </a:rPr>
            <a:t>Average Spending</a:t>
          </a:r>
        </a:p>
        <a:p>
          <a:pPr algn="l"/>
          <a:r>
            <a:rPr lang="en-ZA" sz="1400" b="0">
              <a:solidFill>
                <a:sysClr val="windowText" lastClr="000000"/>
              </a:solidFill>
            </a:rPr>
            <a:t>220,6</a:t>
          </a:r>
        </a:p>
      </xdr:txBody>
    </xdr:sp>
    <xdr:clientData/>
  </xdr:twoCellAnchor>
  <xdr:twoCellAnchor>
    <xdr:from>
      <xdr:col>13</xdr:col>
      <xdr:colOff>28575</xdr:colOff>
      <xdr:row>4</xdr:row>
      <xdr:rowOff>47625</xdr:rowOff>
    </xdr:from>
    <xdr:to>
      <xdr:col>15</xdr:col>
      <xdr:colOff>590550</xdr:colOff>
      <xdr:row>7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623EEE4-F5FF-3A73-2876-A03620D58421}"/>
            </a:ext>
          </a:extLst>
        </xdr:cNvPr>
        <xdr:cNvSpPr/>
      </xdr:nvSpPr>
      <xdr:spPr>
        <a:xfrm>
          <a:off x="7953375" y="238125"/>
          <a:ext cx="1781175" cy="6858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>
              <a:solidFill>
                <a:sysClr val="windowText" lastClr="000000"/>
              </a:solidFill>
            </a:rPr>
            <a:t>Happy</a:t>
          </a:r>
          <a:r>
            <a:rPr lang="en-ZA" sz="1400" baseline="0">
              <a:solidFill>
                <a:sysClr val="windowText" lastClr="000000"/>
              </a:solidFill>
            </a:rPr>
            <a:t> Days</a:t>
          </a:r>
        </a:p>
        <a:p>
          <a:pPr algn="l"/>
          <a:r>
            <a:rPr lang="en-ZA" sz="1400" baseline="0">
              <a:solidFill>
                <a:sysClr val="windowText" lastClr="000000"/>
              </a:solidFill>
            </a:rPr>
            <a:t>15</a:t>
          </a:r>
          <a:endParaRPr lang="en-ZA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561974</xdr:colOff>
      <xdr:row>17</xdr:row>
      <xdr:rowOff>19050</xdr:rowOff>
    </xdr:from>
    <xdr:to>
      <xdr:col>9</xdr:col>
      <xdr:colOff>9525</xdr:colOff>
      <xdr:row>32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3F01ED-C019-4DDB-9D15-516237E56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17</xdr:row>
      <xdr:rowOff>19049</xdr:rowOff>
    </xdr:from>
    <xdr:to>
      <xdr:col>19</xdr:col>
      <xdr:colOff>581024</xdr:colOff>
      <xdr:row>33</xdr:row>
      <xdr:rowOff>9524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86D14-E29F-4DC5-8425-80D467D50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4</xdr:row>
      <xdr:rowOff>28576</xdr:rowOff>
    </xdr:from>
    <xdr:to>
      <xdr:col>4</xdr:col>
      <xdr:colOff>28575</xdr:colOff>
      <xdr:row>7</xdr:row>
      <xdr:rowOff>180976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F65475F-6CB7-6B02-DB59-103DD61BE97D}"/>
            </a:ext>
          </a:extLst>
        </xdr:cNvPr>
        <xdr:cNvSpPr/>
      </xdr:nvSpPr>
      <xdr:spPr>
        <a:xfrm>
          <a:off x="657225" y="219076"/>
          <a:ext cx="1809750" cy="7239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 b="0">
              <a:solidFill>
                <a:sysClr val="windowText" lastClr="000000"/>
              </a:solidFill>
            </a:rPr>
            <a:t>Total Spending</a:t>
          </a:r>
        </a:p>
        <a:p>
          <a:pPr algn="l"/>
          <a:r>
            <a:rPr lang="en-ZA" sz="1400" b="0">
              <a:solidFill>
                <a:sysClr val="windowText" lastClr="000000"/>
              </a:solidFill>
            </a:rPr>
            <a:t>13</a:t>
          </a:r>
          <a:r>
            <a:rPr lang="en-ZA" sz="1400" b="0" baseline="0">
              <a:solidFill>
                <a:sysClr val="windowText" lastClr="000000"/>
              </a:solidFill>
            </a:rPr>
            <a:t>236</a:t>
          </a:r>
          <a:endParaRPr lang="en-ZA" sz="1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19050</xdr:colOff>
      <xdr:row>3</xdr:row>
      <xdr:rowOff>180975</xdr:rowOff>
    </xdr:from>
    <xdr:to>
      <xdr:col>20</xdr:col>
      <xdr:colOff>0</xdr:colOff>
      <xdr:row>8</xdr:row>
      <xdr:rowOff>28575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B284812-1490-248F-56AF-7936C62EE887}"/>
            </a:ext>
          </a:extLst>
        </xdr:cNvPr>
        <xdr:cNvSpPr/>
      </xdr:nvSpPr>
      <xdr:spPr>
        <a:xfrm>
          <a:off x="10382250" y="180975"/>
          <a:ext cx="1809750" cy="8001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300" b="0">
              <a:solidFill>
                <a:sysClr val="windowText" lastClr="000000"/>
              </a:solidFill>
            </a:rPr>
            <a:t>Highest Spending</a:t>
          </a:r>
          <a:r>
            <a:rPr lang="en-ZA" sz="1300" b="0" baseline="0">
              <a:solidFill>
                <a:sysClr val="windowText" lastClr="000000"/>
              </a:solidFill>
            </a:rPr>
            <a:t> Amount</a:t>
          </a:r>
        </a:p>
        <a:p>
          <a:pPr algn="l"/>
          <a:r>
            <a:rPr lang="en-ZA" sz="1300" b="0" baseline="0">
              <a:solidFill>
                <a:sysClr val="windowText" lastClr="000000"/>
              </a:solidFill>
            </a:rPr>
            <a:t>1500</a:t>
          </a:r>
          <a:endParaRPr lang="en-ZA" sz="13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47625</xdr:colOff>
      <xdr:row>10</xdr:row>
      <xdr:rowOff>9526</xdr:rowOff>
    </xdr:from>
    <xdr:to>
      <xdr:col>8</xdr:col>
      <xdr:colOff>28575</xdr:colOff>
      <xdr:row>14</xdr:row>
      <xdr:rowOff>9526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B41AE96-6708-358B-19EF-F888BA49D99A}"/>
            </a:ext>
          </a:extLst>
        </xdr:cNvPr>
        <xdr:cNvSpPr/>
      </xdr:nvSpPr>
      <xdr:spPr>
        <a:xfrm>
          <a:off x="3095625" y="1343026"/>
          <a:ext cx="1809750" cy="7620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>
              <a:solidFill>
                <a:sysClr val="windowText" lastClr="000000"/>
              </a:solidFill>
            </a:rPr>
            <a:t>Food Spending</a:t>
          </a:r>
        </a:p>
        <a:p>
          <a:pPr algn="l"/>
          <a:r>
            <a:rPr lang="en-ZA" sz="1400">
              <a:solidFill>
                <a:sysClr val="windowText" lastClr="000000"/>
              </a:solidFill>
            </a:rPr>
            <a:t>3180</a:t>
          </a:r>
        </a:p>
      </xdr:txBody>
    </xdr:sp>
    <xdr:clientData/>
  </xdr:twoCellAnchor>
  <xdr:twoCellAnchor>
    <xdr:from>
      <xdr:col>9</xdr:col>
      <xdr:colOff>9525</xdr:colOff>
      <xdr:row>9</xdr:row>
      <xdr:rowOff>161926</xdr:rowOff>
    </xdr:from>
    <xdr:to>
      <xdr:col>12</xdr:col>
      <xdr:colOff>0</xdr:colOff>
      <xdr:row>14</xdr:row>
      <xdr:rowOff>85726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586D9E4-0A68-440E-C849-3A58D86ABE0C}"/>
            </a:ext>
          </a:extLst>
        </xdr:cNvPr>
        <xdr:cNvSpPr/>
      </xdr:nvSpPr>
      <xdr:spPr>
        <a:xfrm>
          <a:off x="5495925" y="1304926"/>
          <a:ext cx="1819275" cy="8763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300">
              <a:solidFill>
                <a:sysClr val="windowText" lastClr="000000"/>
              </a:solidFill>
            </a:rPr>
            <a:t>Entertainment Spending</a:t>
          </a:r>
        </a:p>
        <a:p>
          <a:pPr algn="l"/>
          <a:r>
            <a:rPr lang="en-ZA" sz="1300">
              <a:solidFill>
                <a:sysClr val="windowText" lastClr="000000"/>
              </a:solidFill>
            </a:rPr>
            <a:t>2</a:t>
          </a:r>
          <a:r>
            <a:rPr lang="en-ZA" sz="1300" baseline="0">
              <a:solidFill>
                <a:sysClr val="windowText" lastClr="000000"/>
              </a:solidFill>
            </a:rPr>
            <a:t>446</a:t>
          </a:r>
          <a:endParaRPr lang="en-ZA" sz="13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19050</xdr:colOff>
      <xdr:row>10</xdr:row>
      <xdr:rowOff>38100</xdr:rowOff>
    </xdr:from>
    <xdr:to>
      <xdr:col>3</xdr:col>
      <xdr:colOff>600075</xdr:colOff>
      <xdr:row>14</xdr:row>
      <xdr:rowOff>9525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EFEE0DB-1857-4F91-B813-51761EA87D5D}"/>
            </a:ext>
          </a:extLst>
        </xdr:cNvPr>
        <xdr:cNvSpPr/>
      </xdr:nvSpPr>
      <xdr:spPr>
        <a:xfrm>
          <a:off x="628650" y="1371600"/>
          <a:ext cx="1800225" cy="733425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>
              <a:solidFill>
                <a:sysClr val="windowText" lastClr="000000"/>
              </a:solidFill>
            </a:rPr>
            <a:t>Transport Spending</a:t>
          </a:r>
        </a:p>
        <a:p>
          <a:pPr algn="l"/>
          <a:r>
            <a:rPr lang="en-ZA" sz="1400">
              <a:solidFill>
                <a:sysClr val="windowText" lastClr="000000"/>
              </a:solidFill>
            </a:rPr>
            <a:t>350</a:t>
          </a:r>
        </a:p>
      </xdr:txBody>
    </xdr:sp>
    <xdr:clientData/>
  </xdr:twoCellAnchor>
  <xdr:twoCellAnchor>
    <xdr:from>
      <xdr:col>13</xdr:col>
      <xdr:colOff>0</xdr:colOff>
      <xdr:row>10</xdr:row>
      <xdr:rowOff>57150</xdr:rowOff>
    </xdr:from>
    <xdr:to>
      <xdr:col>16</xdr:col>
      <xdr:colOff>0</xdr:colOff>
      <xdr:row>14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3EFC677-FA74-9D39-4A2D-569CB60381B2}"/>
            </a:ext>
          </a:extLst>
        </xdr:cNvPr>
        <xdr:cNvSpPr/>
      </xdr:nvSpPr>
      <xdr:spPr>
        <a:xfrm>
          <a:off x="7924800" y="1390650"/>
          <a:ext cx="1828800" cy="70485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>
              <a:solidFill>
                <a:sysClr val="windowText" lastClr="000000"/>
              </a:solidFill>
            </a:rPr>
            <a:t>Bills Spending</a:t>
          </a:r>
        </a:p>
        <a:p>
          <a:pPr algn="l"/>
          <a:r>
            <a:rPr lang="en-ZA" sz="1400">
              <a:solidFill>
                <a:sysClr val="windowText" lastClr="000000"/>
              </a:solidFill>
            </a:rPr>
            <a:t>4660</a:t>
          </a:r>
        </a:p>
      </xdr:txBody>
    </xdr:sp>
    <xdr:clientData/>
  </xdr:twoCellAnchor>
  <xdr:twoCellAnchor>
    <xdr:from>
      <xdr:col>0</xdr:col>
      <xdr:colOff>609599</xdr:colOff>
      <xdr:row>36</xdr:row>
      <xdr:rowOff>0</xdr:rowOff>
    </xdr:from>
    <xdr:to>
      <xdr:col>9</xdr:col>
      <xdr:colOff>9524</xdr:colOff>
      <xdr:row>50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BF932AE-559C-42EB-810C-6D8DA3425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609599</xdr:colOff>
      <xdr:row>36</xdr:row>
      <xdr:rowOff>0</xdr:rowOff>
    </xdr:from>
    <xdr:to>
      <xdr:col>20</xdr:col>
      <xdr:colOff>9524</xdr:colOff>
      <xdr:row>51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E9A063A-1DF0-4434-B852-6C349894D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9</xdr:col>
      <xdr:colOff>0</xdr:colOff>
      <xdr:row>69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BAA13E-649B-49B4-B65A-BC238DCD4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</xdr:colOff>
      <xdr:row>10</xdr:row>
      <xdr:rowOff>19050</xdr:rowOff>
    </xdr:from>
    <xdr:to>
      <xdr:col>20</xdr:col>
      <xdr:colOff>66675</xdr:colOff>
      <xdr:row>14</xdr:row>
      <xdr:rowOff>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A357582-67BC-B102-2C1F-DED4512C2543}"/>
            </a:ext>
          </a:extLst>
        </xdr:cNvPr>
        <xdr:cNvSpPr/>
      </xdr:nvSpPr>
      <xdr:spPr>
        <a:xfrm>
          <a:off x="10391775" y="1352550"/>
          <a:ext cx="1866900" cy="74295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400">
              <a:solidFill>
                <a:sysClr val="windowText" lastClr="000000"/>
              </a:solidFill>
            </a:rPr>
            <a:t>Savings Rate</a:t>
          </a:r>
        </a:p>
        <a:p>
          <a:pPr algn="l"/>
          <a:r>
            <a:rPr lang="en-ZA" sz="1400">
              <a:solidFill>
                <a:sysClr val="windowText" lastClr="000000"/>
              </a:solidFill>
            </a:rPr>
            <a:t>19.64%</a:t>
          </a:r>
        </a:p>
      </xdr:txBody>
    </xdr:sp>
    <xdr:clientData/>
  </xdr:twoCellAnchor>
  <xdr:twoCellAnchor>
    <xdr:from>
      <xdr:col>1</xdr:col>
      <xdr:colOff>9525</xdr:colOff>
      <xdr:row>72</xdr:row>
      <xdr:rowOff>38100</xdr:rowOff>
    </xdr:from>
    <xdr:to>
      <xdr:col>7</xdr:col>
      <xdr:colOff>523875</xdr:colOff>
      <xdr:row>91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C1C8A2-D3E3-C11C-1A2D-C06993E4358D}"/>
            </a:ext>
          </a:extLst>
        </xdr:cNvPr>
        <xdr:cNvSpPr txBox="1"/>
      </xdr:nvSpPr>
      <xdr:spPr>
        <a:xfrm>
          <a:off x="619125" y="13963650"/>
          <a:ext cx="4171950" cy="36957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400" b="1">
              <a:solidFill>
                <a:schemeClr val="bg2">
                  <a:lumMod val="10000"/>
                </a:schemeClr>
              </a:solidFill>
            </a:rPr>
            <a:t>Project Insights</a:t>
          </a:r>
        </a:p>
        <a:p>
          <a:endParaRPr lang="en-ZA" sz="1400">
            <a:solidFill>
              <a:schemeClr val="bg2">
                <a:lumMod val="25000"/>
              </a:schemeClr>
            </a:solidFill>
          </a:endParaRPr>
        </a:p>
        <a:p>
          <a:r>
            <a:rPr lang="en-ZA" sz="1200"/>
            <a:t>∙Total spending amounted to R13,236 across the analysis period.</a:t>
          </a:r>
        </a:p>
        <a:p>
          <a:r>
            <a:rPr lang="en-ZA" sz="1200"/>
            <a:t> </a:t>
          </a:r>
        </a:p>
        <a:p>
          <a:r>
            <a:rPr lang="en-ZA" sz="1200"/>
            <a:t>∙Total savings reached R2,600, indicating consistent saving behaviour. </a:t>
          </a:r>
        </a:p>
        <a:p>
          <a:endParaRPr lang="en-ZA" sz="1200"/>
        </a:p>
        <a:p>
          <a:r>
            <a:rPr lang="en-ZA" sz="1200"/>
            <a:t>∙The average spending per transaction was R220.60. </a:t>
          </a:r>
        </a:p>
        <a:p>
          <a:endParaRPr lang="en-ZA" sz="1200"/>
        </a:p>
        <a:p>
          <a:r>
            <a:rPr lang="en-ZA" sz="1200"/>
            <a:t>∙Food, transport, bills</a:t>
          </a:r>
          <a:r>
            <a:rPr lang="en-ZA" sz="1200" baseline="0"/>
            <a:t> </a:t>
          </a:r>
          <a:r>
            <a:rPr lang="en-ZA" sz="1200"/>
            <a:t> and entertainment were the primary spending categories. </a:t>
          </a:r>
        </a:p>
        <a:p>
          <a:endParaRPr lang="en-ZA" sz="1200"/>
        </a:p>
        <a:p>
          <a:r>
            <a:rPr lang="en-ZA" sz="1200"/>
            <a:t>∙Payment methods varied across transactions, with digital payments and cash both being used. </a:t>
          </a:r>
        </a:p>
        <a:p>
          <a:endParaRPr lang="en-ZA" sz="1200"/>
        </a:p>
        <a:p>
          <a:r>
            <a:rPr lang="en-ZA" sz="1200"/>
            <a:t>∙Spending patterns differed across locations and activities, providing insight into student financial behaviour.</a:t>
          </a:r>
        </a:p>
        <a:p>
          <a:endParaRPr lang="en-ZA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2.967508564812" createdVersion="8" refreshedVersion="8" minRefreshableVersion="3" recordCount="60" xr:uid="{BB54DAB0-DA84-47BA-AB77-9454EAFEFA76}">
  <cacheSource type="worksheet">
    <worksheetSource name="Table2"/>
  </cacheSource>
  <cacheFields count="10">
    <cacheField name="Date" numFmtId="16">
      <sharedItems containsSemiMixedTypes="0" containsNonDate="0" containsDate="1" containsString="0" minDate="2026-04-01T00:00:00" maxDate="2026-04-23T00:00:00"/>
    </cacheField>
    <cacheField name="Day" numFmtId="0">
      <sharedItems/>
    </cacheField>
    <cacheField name="Category" numFmtId="0">
      <sharedItems count="5">
        <s v="Food"/>
        <s v="Transport"/>
        <s v="Bills"/>
        <s v="Savings"/>
        <s v="Entertainment"/>
      </sharedItems>
    </cacheField>
    <cacheField name="Subcategory" numFmtId="0">
      <sharedItems/>
    </cacheField>
    <cacheField name="Amount" numFmtId="0">
      <sharedItems containsSemiMixedTypes="0" containsString="0" containsNumber="1" containsInteger="1" minValue="25" maxValue="1500"/>
    </cacheField>
    <cacheField name="Mood" numFmtId="0">
      <sharedItems count="6">
        <s v="Happy"/>
        <s v="Neutral"/>
        <s v="Stressed"/>
        <s v="Proud"/>
        <s v="Excited"/>
        <s v="Relaxed"/>
      </sharedItems>
    </cacheField>
    <cacheField name="Energy Level" numFmtId="0">
      <sharedItems/>
    </cacheField>
    <cacheField name="Location" numFmtId="0">
      <sharedItems count="8">
        <s v="Mall"/>
        <s v="Street"/>
        <s v="Home"/>
        <s v="Online"/>
        <s v="Supermarket"/>
        <s v="Cafe"/>
        <s v="Cinema"/>
        <s v="Restaurant"/>
      </sharedItems>
    </cacheField>
    <cacheField name="Payment Method" numFmtId="0">
      <sharedItems count="5">
        <s v="Cash"/>
        <s v="EFT"/>
        <s v="Bank Transfer"/>
        <s v="Card"/>
        <s v="Online"/>
      </sharedItems>
    </cacheField>
    <cacheField name="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6-04-01T00:00:00"/>
    <s v="Monday"/>
    <x v="0"/>
    <s v="Takeaway"/>
    <n v="120"/>
    <x v="0"/>
    <s v="High"/>
    <x v="0"/>
    <x v="0"/>
    <s v="Social outing"/>
  </r>
  <r>
    <d v="2026-04-01T00:00:00"/>
    <s v="Monday"/>
    <x v="1"/>
    <s v="Taxi"/>
    <n v="50"/>
    <x v="1"/>
    <s v="Medium"/>
    <x v="1"/>
    <x v="0"/>
    <s v="University commute"/>
  </r>
  <r>
    <d v="2026-04-01T00:00:00"/>
    <s v="Monday"/>
    <x v="2"/>
    <s v="Electricity"/>
    <n v="300"/>
    <x v="2"/>
    <s v="Low"/>
    <x v="2"/>
    <x v="1"/>
    <s v="Monthly bill"/>
  </r>
  <r>
    <d v="2026-04-02T00:00:00"/>
    <s v="Tuesday"/>
    <x v="3"/>
    <s v="Emergency Fund"/>
    <n v="200"/>
    <x v="3"/>
    <s v="High"/>
    <x v="3"/>
    <x v="2"/>
    <s v="Financial discipline"/>
  </r>
  <r>
    <d v="2026-04-02T00:00:00"/>
    <s v="Tuesday"/>
    <x v="4"/>
    <s v="Netflix"/>
    <n v="99"/>
    <x v="0"/>
    <s v="Medium"/>
    <x v="2"/>
    <x v="3"/>
    <s v="Relaxing"/>
  </r>
  <r>
    <d v="2026-04-02T00:00:00"/>
    <s v="Tuesday"/>
    <x v="0"/>
    <s v="Groceries"/>
    <n v="180"/>
    <x v="1"/>
    <s v="Medium"/>
    <x v="4"/>
    <x v="3"/>
    <s v="Stocking up"/>
  </r>
  <r>
    <d v="2026-04-03T00:00:00"/>
    <s v="Wednesday"/>
    <x v="1"/>
    <s v="Bus"/>
    <n v="30"/>
    <x v="1"/>
    <s v="Medium"/>
    <x v="1"/>
    <x v="0"/>
    <s v="Travel to campus"/>
  </r>
  <r>
    <d v="2026-04-03T00:00:00"/>
    <s v="Wednesday"/>
    <x v="0"/>
    <s v="Coffee Shop"/>
    <n v="45"/>
    <x v="0"/>
    <s v="High"/>
    <x v="5"/>
    <x v="3"/>
    <s v="Study break"/>
  </r>
  <r>
    <d v="2026-04-03T00:00:00"/>
    <s v="Wednesday"/>
    <x v="2"/>
    <s v="Data Bundle"/>
    <n v="150"/>
    <x v="2"/>
    <s v="Low"/>
    <x v="3"/>
    <x v="1"/>
    <s v="Internet purchase"/>
  </r>
  <r>
    <d v="2026-04-04T00:00:00"/>
    <s v="Thursday"/>
    <x v="0"/>
    <s v="Restaurant"/>
    <n v="220"/>
    <x v="4"/>
    <s v="High"/>
    <x v="0"/>
    <x v="3"/>
    <s v="Celebration"/>
  </r>
  <r>
    <d v="2026-04-04T00:00:00"/>
    <s v="Thursday"/>
    <x v="3"/>
    <s v="Investments"/>
    <n v="300"/>
    <x v="3"/>
    <s v="High"/>
    <x v="3"/>
    <x v="2"/>
    <s v="Long-term savings"/>
  </r>
  <r>
    <d v="2026-04-04T00:00:00"/>
    <s v="Thursday"/>
    <x v="4"/>
    <s v="Movies"/>
    <n v="120"/>
    <x v="0"/>
    <s v="High"/>
    <x v="6"/>
    <x v="3"/>
    <s v="Weekend fun"/>
  </r>
  <r>
    <d v="2026-04-05T00:00:00"/>
    <s v="Friday"/>
    <x v="1"/>
    <s v="Taxi"/>
    <n v="60"/>
    <x v="1"/>
    <s v="Medium"/>
    <x v="1"/>
    <x v="0"/>
    <s v="Going out"/>
  </r>
  <r>
    <d v="2026-04-05T00:00:00"/>
    <s v="Friday"/>
    <x v="0"/>
    <s v="Fast Food"/>
    <n v="90"/>
    <x v="0"/>
    <s v="High"/>
    <x v="7"/>
    <x v="0"/>
    <s v="Quick meal"/>
  </r>
  <r>
    <d v="2026-04-05T00:00:00"/>
    <s v="Friday"/>
    <x v="2"/>
    <s v="Rent"/>
    <n v="1500"/>
    <x v="2"/>
    <s v="Low"/>
    <x v="2"/>
    <x v="1"/>
    <s v="Monthly rent"/>
  </r>
  <r>
    <d v="2026-04-06T00:00:00"/>
    <s v="Saturday"/>
    <x v="4"/>
    <s v="Shopping"/>
    <n v="400"/>
    <x v="4"/>
    <s v="High"/>
    <x v="0"/>
    <x v="3"/>
    <s v="Self reward"/>
  </r>
  <r>
    <d v="2026-04-06T00:00:00"/>
    <s v="Saturday"/>
    <x v="0"/>
    <s v="Groceries"/>
    <n v="200"/>
    <x v="1"/>
    <s v="Medium"/>
    <x v="4"/>
    <x v="3"/>
    <s v="Weekly groceries"/>
  </r>
  <r>
    <d v="2026-04-07T00:00:00"/>
    <s v="Sunday"/>
    <x v="0"/>
    <s v="Restaurant"/>
    <n v="180"/>
    <x v="0"/>
    <s v="High"/>
    <x v="5"/>
    <x v="3"/>
    <s v="Family outing"/>
  </r>
  <r>
    <d v="2026-04-07T00:00:00"/>
    <s v="Sunday"/>
    <x v="4"/>
    <s v="Streaming"/>
    <n v="99"/>
    <x v="5"/>
    <s v="Low"/>
    <x v="2"/>
    <x v="3"/>
    <s v="Rest day"/>
  </r>
  <r>
    <d v="2026-04-08T00:00:00"/>
    <s v="Monday"/>
    <x v="2"/>
    <s v="Water"/>
    <n v="120"/>
    <x v="2"/>
    <s v="Low"/>
    <x v="2"/>
    <x v="1"/>
    <s v="Utility bill"/>
  </r>
  <r>
    <d v="2026-04-08T00:00:00"/>
    <s v="Monday"/>
    <x v="3"/>
    <s v="Investments"/>
    <n v="300"/>
    <x v="3"/>
    <s v="High"/>
    <x v="3"/>
    <x v="2"/>
    <s v="Future planning"/>
  </r>
  <r>
    <d v="2026-04-09T00:00:00"/>
    <s v="Tuesday"/>
    <x v="1"/>
    <s v="Bus"/>
    <n v="25"/>
    <x v="1"/>
    <s v="Medium"/>
    <x v="1"/>
    <x v="0"/>
    <s v="Daily commute"/>
  </r>
  <r>
    <d v="2026-04-09T00:00:00"/>
    <s v="Tuesday"/>
    <x v="0"/>
    <s v="Coffee"/>
    <n v="40"/>
    <x v="0"/>
    <s v="High"/>
    <x v="5"/>
    <x v="3"/>
    <s v="Morning boost"/>
  </r>
  <r>
    <d v="2026-04-09T00:00:00"/>
    <s v="Tuesday"/>
    <x v="4"/>
    <s v="Games"/>
    <n v="150"/>
    <x v="4"/>
    <s v="High"/>
    <x v="2"/>
    <x v="3"/>
    <s v="Gaming session"/>
  </r>
  <r>
    <d v="2026-04-10T00:00:00"/>
    <s v="Wednesday"/>
    <x v="2"/>
    <s v="Internet"/>
    <n v="200"/>
    <x v="2"/>
    <s v="Low"/>
    <x v="2"/>
    <x v="1"/>
    <s v="Monthly subscription"/>
  </r>
  <r>
    <d v="2026-04-10T00:00:00"/>
    <s v="Wednesday"/>
    <x v="0"/>
    <s v="Groceries"/>
    <n v="170"/>
    <x v="1"/>
    <s v="Medium"/>
    <x v="4"/>
    <x v="3"/>
    <s v="Home stock"/>
  </r>
  <r>
    <d v="2026-04-10T00:00:00"/>
    <s v="Wednesday"/>
    <x v="3"/>
    <s v="Emergency Fund"/>
    <n v="300"/>
    <x v="3"/>
    <s v="High"/>
    <x v="3"/>
    <x v="2"/>
    <s v="Consistency"/>
  </r>
  <r>
    <d v="2026-04-11T00:00:00"/>
    <s v="Thursday"/>
    <x v="0"/>
    <s v="Takeaway"/>
    <n v="130"/>
    <x v="0"/>
    <s v="High"/>
    <x v="0"/>
    <x v="0"/>
    <s v="Busy day meal"/>
  </r>
  <r>
    <d v="2026-04-11T00:00:00"/>
    <s v="Thursday"/>
    <x v="1"/>
    <s v="Taxi"/>
    <n v="55"/>
    <x v="1"/>
    <s v="Medium"/>
    <x v="1"/>
    <x v="0"/>
    <s v="Travel"/>
  </r>
  <r>
    <d v="2026-04-11T00:00:00"/>
    <s v="Thursday"/>
    <x v="4"/>
    <s v="Movies"/>
    <n v="140"/>
    <x v="4"/>
    <s v="High"/>
    <x v="6"/>
    <x v="3"/>
    <s v="Weekend outing"/>
  </r>
  <r>
    <d v="2026-04-12T00:00:00"/>
    <s v="Friday"/>
    <x v="2"/>
    <s v="Electricity"/>
    <n v="280"/>
    <x v="2"/>
    <s v="Low"/>
    <x v="2"/>
    <x v="1"/>
    <s v="Monthly bill"/>
  </r>
  <r>
    <d v="2026-04-12T00:00:00"/>
    <s v="Friday"/>
    <x v="0"/>
    <s v="Fast Food"/>
    <n v="95"/>
    <x v="0"/>
    <s v="High"/>
    <x v="7"/>
    <x v="0"/>
    <s v="Quick food"/>
  </r>
  <r>
    <d v="2026-04-12T00:00:00"/>
    <s v="Friday"/>
    <x v="3"/>
    <s v="Investments"/>
    <n v="300"/>
    <x v="3"/>
    <s v="High"/>
    <x v="3"/>
    <x v="2"/>
    <s v="Financial growth"/>
  </r>
  <r>
    <d v="2026-04-13T00:00:00"/>
    <s v="Saturday"/>
    <x v="4"/>
    <s v="Shopping"/>
    <n v="500"/>
    <x v="4"/>
    <s v="High"/>
    <x v="0"/>
    <x v="3"/>
    <s v="Clothing purchase"/>
  </r>
  <r>
    <d v="2026-04-13T00:00:00"/>
    <s v="Saturday"/>
    <x v="0"/>
    <s v="Groceries"/>
    <n v="210"/>
    <x v="1"/>
    <s v="Medium"/>
    <x v="4"/>
    <x v="3"/>
    <s v="Weekly shopping"/>
  </r>
  <r>
    <d v="2026-04-13T00:00:00"/>
    <s v="Saturday"/>
    <x v="1"/>
    <s v="Bus"/>
    <n v="35"/>
    <x v="1"/>
    <s v="Medium"/>
    <x v="1"/>
    <x v="0"/>
    <s v="Travel"/>
  </r>
  <r>
    <d v="2026-04-14T00:00:00"/>
    <s v="Sunday"/>
    <x v="0"/>
    <s v="Restaurant"/>
    <n v="190"/>
    <x v="0"/>
    <s v="High"/>
    <x v="5"/>
    <x v="3"/>
    <s v="Family time"/>
  </r>
  <r>
    <d v="2026-04-14T00:00:00"/>
    <s v="Sunday"/>
    <x v="4"/>
    <s v="Streaming"/>
    <n v="99"/>
    <x v="5"/>
    <s v="Low"/>
    <x v="2"/>
    <x v="3"/>
    <s v="Rest day"/>
  </r>
  <r>
    <d v="2026-04-15T00:00:00"/>
    <s v="Monday"/>
    <x v="2"/>
    <s v="Internet"/>
    <n v="210"/>
    <x v="2"/>
    <s v="Low"/>
    <x v="2"/>
    <x v="1"/>
    <s v="Monthly subscription"/>
  </r>
  <r>
    <d v="2026-04-15T00:00:00"/>
    <s v="Monday"/>
    <x v="3"/>
    <s v="Emergency Fund"/>
    <n v="300"/>
    <x v="3"/>
    <s v="High"/>
    <x v="3"/>
    <x v="2"/>
    <s v="Consistency"/>
  </r>
  <r>
    <d v="2026-04-15T00:00:00"/>
    <s v="Monday"/>
    <x v="0"/>
    <s v="Coffee Shop"/>
    <n v="50"/>
    <x v="0"/>
    <s v="High"/>
    <x v="5"/>
    <x v="3"/>
    <s v="Study break"/>
  </r>
  <r>
    <d v="2026-04-16T00:00:00"/>
    <s v="Tuesday"/>
    <x v="1"/>
    <s v="Taxi"/>
    <n v="65"/>
    <x v="1"/>
    <s v="Medium"/>
    <x v="1"/>
    <x v="0"/>
    <s v="Campus trip"/>
  </r>
  <r>
    <d v="2026-04-16T00:00:00"/>
    <s v="Tuesday"/>
    <x v="0"/>
    <s v="Takeaway"/>
    <n v="140"/>
    <x v="0"/>
    <s v="High"/>
    <x v="0"/>
    <x v="0"/>
    <s v="Social meal"/>
  </r>
  <r>
    <d v="2026-04-16T00:00:00"/>
    <s v="Tuesday"/>
    <x v="4"/>
    <s v="Games"/>
    <n v="160"/>
    <x v="4"/>
    <s v="High"/>
    <x v="2"/>
    <x v="3"/>
    <s v="Relaxation"/>
  </r>
  <r>
    <d v="2026-04-17T00:00:00"/>
    <s v="Wednesday"/>
    <x v="2"/>
    <s v="Water"/>
    <n v="110"/>
    <x v="2"/>
    <s v="Low"/>
    <x v="2"/>
    <x v="1"/>
    <s v="Utility bill"/>
  </r>
  <r>
    <d v="2026-04-17T00:00:00"/>
    <s v="Wednesday"/>
    <x v="0"/>
    <s v="Groceries"/>
    <n v="180"/>
    <x v="1"/>
    <s v="Medium"/>
    <x v="4"/>
    <x v="3"/>
    <s v="Stocking up"/>
  </r>
  <r>
    <d v="2026-04-17T00:00:00"/>
    <s v="Wednesday"/>
    <x v="3"/>
    <s v="Investments"/>
    <n v="300"/>
    <x v="3"/>
    <s v="High"/>
    <x v="3"/>
    <x v="2"/>
    <s v="Long-term saving"/>
  </r>
  <r>
    <d v="2026-04-18T00:00:00"/>
    <s v="Thursday"/>
    <x v="0"/>
    <s v="Restaurant"/>
    <n v="230"/>
    <x v="4"/>
    <s v="High"/>
    <x v="5"/>
    <x v="3"/>
    <s v="Celebration"/>
  </r>
  <r>
    <d v="2026-04-18T00:00:00"/>
    <s v="Thursday"/>
    <x v="1"/>
    <s v="Bus"/>
    <n v="30"/>
    <x v="1"/>
    <s v="Medium"/>
    <x v="1"/>
    <x v="0"/>
    <s v="Travel"/>
  </r>
  <r>
    <d v="2026-04-18T00:00:00"/>
    <s v="Thursday"/>
    <x v="4"/>
    <s v="Movies"/>
    <n v="130"/>
    <x v="0"/>
    <s v="High"/>
    <x v="6"/>
    <x v="3"/>
    <s v="Weekend fun"/>
  </r>
  <r>
    <d v="2026-04-19T00:00:00"/>
    <s v="Friday"/>
    <x v="2"/>
    <s v="Rent"/>
    <n v="1500"/>
    <x v="2"/>
    <s v="Low"/>
    <x v="2"/>
    <x v="1"/>
    <s v="Monthly rent"/>
  </r>
  <r>
    <d v="2026-04-19T00:00:00"/>
    <s v="Friday"/>
    <x v="0"/>
    <s v="Fast Food"/>
    <n v="100"/>
    <x v="0"/>
    <s v="High"/>
    <x v="7"/>
    <x v="0"/>
    <s v="Quick meal"/>
  </r>
  <r>
    <d v="2026-04-19T00:00:00"/>
    <s v="Friday"/>
    <x v="3"/>
    <s v="Emergency Fund"/>
    <n v="300"/>
    <x v="3"/>
    <s v="High"/>
    <x v="3"/>
    <x v="2"/>
    <s v="Financial discipline"/>
  </r>
  <r>
    <d v="2026-04-20T00:00:00"/>
    <s v="Saturday"/>
    <x v="4"/>
    <s v="Shopping"/>
    <n v="450"/>
    <x v="4"/>
    <s v="High"/>
    <x v="0"/>
    <x v="3"/>
    <s v="Self reward"/>
  </r>
  <r>
    <d v="2026-04-20T00:00:00"/>
    <s v="Saturday"/>
    <x v="0"/>
    <s v="Groceries"/>
    <n v="220"/>
    <x v="1"/>
    <s v="Medium"/>
    <x v="4"/>
    <x v="3"/>
    <s v="Weekly groceries"/>
  </r>
  <r>
    <d v="2026-04-21T00:00:00"/>
    <s v="Sunday"/>
    <x v="0"/>
    <s v="Restaurant"/>
    <n v="200"/>
    <x v="0"/>
    <s v="High"/>
    <x v="5"/>
    <x v="3"/>
    <s v="Family Lunch"/>
  </r>
  <r>
    <d v="2026-04-21T00:00:00"/>
    <s v="Sunday"/>
    <x v="4"/>
    <s v="Streaming"/>
    <n v="99"/>
    <x v="5"/>
    <s v="Low"/>
    <x v="2"/>
    <x v="3"/>
    <s v="Rest day"/>
  </r>
  <r>
    <d v="2026-04-22T00:00:00"/>
    <s v="Monday"/>
    <x v="2"/>
    <s v="Electricity"/>
    <n v="290"/>
    <x v="2"/>
    <s v="Low"/>
    <x v="1"/>
    <x v="1"/>
    <s v="Monthly bill"/>
  </r>
  <r>
    <d v="2026-04-22T00:00:00"/>
    <s v="Monday"/>
    <x v="0"/>
    <s v="Groceries"/>
    <n v="190"/>
    <x v="1"/>
    <s v="Medium"/>
    <x v="4"/>
    <x v="3"/>
    <s v="Stocking up"/>
  </r>
  <r>
    <d v="2026-04-22T00:00:00"/>
    <s v="Monday"/>
    <x v="3"/>
    <s v="Investments"/>
    <n v="300"/>
    <x v="3"/>
    <s v="High"/>
    <x v="3"/>
    <x v="4"/>
    <s v="Future Saving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08DC4-5A67-4F07-82F8-17AD5E6192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:B10" firstHeaderRow="1" firstDataRow="1" firstDataCol="1"/>
  <pivotFields count="10">
    <pivotField numFmtId="16"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chartFormats count="7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111AE-AF31-458D-A2C4-EC20A9378C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4:B11" firstHeaderRow="1" firstDataRow="1" firstDataCol="1"/>
  <pivotFields count="10">
    <pivotField numFmtId="16" showAll="0"/>
    <pivotField showAll="0"/>
    <pivotField showAll="0"/>
    <pivotField showAll="0"/>
    <pivotField dataField="1" showAll="0"/>
    <pivotField axis="axisRow" showAll="0">
      <items count="7">
        <item x="4"/>
        <item x="0"/>
        <item x="1"/>
        <item x="3"/>
        <item x="5"/>
        <item x="2"/>
        <item t="default"/>
      </items>
    </pivotField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C0599-331D-4774-8A48-00DF08695F6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" firstHeaderRow="1" firstDataRow="1" firstDataCol="1"/>
  <pivotFields count="10">
    <pivotField numFmtId="16" showAll="0"/>
    <pivotField showAll="0"/>
    <pivotField showAll="0"/>
    <pivotField showAll="0"/>
    <pivotField showAll="0"/>
    <pivotField axis="axisRow" dataField="1" showAll="0">
      <items count="7">
        <item x="4"/>
        <item x="0"/>
        <item x="1"/>
        <item x="3"/>
        <item x="5"/>
        <item x="2"/>
        <item t="default"/>
      </items>
    </pivotField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ood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6F7C2-1141-4A98-9FA7-62EA22A7A4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B10" firstHeaderRow="1" firstDataRow="1" firstDataCol="1"/>
  <pivotFields count="10">
    <pivotField numFmtId="16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0"/>
        <item x="1"/>
        <item x="4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 Method" fld="8" subtotal="count" baseField="0" baseItem="0"/>
  </dataFields>
  <chartFormats count="6">
    <chartFormat chart="1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01C0-EDE6-4734-A815-E30E21EA76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13" firstHeaderRow="1" firstDataRow="1" firstDataCol="1"/>
  <pivotFields count="10">
    <pivotField numFmtId="16"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5"/>
        <item x="6"/>
        <item x="2"/>
        <item x="0"/>
        <item x="3"/>
        <item x="7"/>
        <item x="1"/>
        <item x="4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915945-FD16-49B1-A30A-A6F53F10E092}" name="Table2" displayName="Table2" ref="A5:J65" totalsRowShown="0" headerRowDxfId="11" dataDxfId="10">
  <autoFilter ref="A5:J65" xr:uid="{69915945-FD16-49B1-A30A-A6F53F10E092}"/>
  <tableColumns count="10">
    <tableColumn id="1" xr3:uid="{CAD36D40-3F45-4C40-B557-200EBDE82C12}" name="Date" dataDxfId="9"/>
    <tableColumn id="2" xr3:uid="{9723FCF8-591B-48B4-897A-D83F9589D06D}" name="Day" dataDxfId="8"/>
    <tableColumn id="3" xr3:uid="{D1283F43-2A22-4912-B82E-CE3131752FE4}" name="Category" dataDxfId="7"/>
    <tableColumn id="4" xr3:uid="{DE77DC73-8288-4567-9A45-331F0908B321}" name="Subcategory" dataDxfId="6"/>
    <tableColumn id="5" xr3:uid="{2C885053-AB9D-4848-BE66-283134F81CF7}" name="Amount" dataDxfId="5"/>
    <tableColumn id="6" xr3:uid="{56E43D07-F391-44EF-AC9C-9EE02A3EEB6B}" name="Mood" dataDxfId="4"/>
    <tableColumn id="7" xr3:uid="{10BB06CB-4DE8-4BDE-9D18-4FE30A586FD9}" name="Energy Level" dataDxfId="3"/>
    <tableColumn id="8" xr3:uid="{ED1CD6E0-C684-4A4B-9C72-4A6530783A67}" name="Location" dataDxfId="2"/>
    <tableColumn id="9" xr3:uid="{ADE8965B-206A-4571-8C24-676721BDBD56}" name="Payment Method" dataDxfId="1"/>
    <tableColumn id="10" xr3:uid="{00193D38-BC8F-4A93-B743-9B7C2692FF01}" name="Reas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EAEA-B342-4E18-BE8E-0EF0C948D9D8}">
  <dimension ref="A1:J63"/>
  <sheetViews>
    <sheetView workbookViewId="0">
      <selection activeCell="K12" sqref="K12"/>
    </sheetView>
  </sheetViews>
  <sheetFormatPr defaultRowHeight="15" x14ac:dyDescent="0.25"/>
  <sheetData>
    <row r="1" spans="1:10" x14ac:dyDescent="0.25">
      <c r="A1" s="5"/>
      <c r="B1" s="5"/>
      <c r="C1" s="5"/>
      <c r="D1" s="5"/>
      <c r="E1" s="5"/>
      <c r="F1" s="5" t="s">
        <v>165</v>
      </c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9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10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 t="s">
        <v>11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 t="s">
        <v>12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 t="s">
        <v>13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 t="s">
        <v>14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 t="s">
        <v>15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5" t="s">
        <v>16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5" t="s">
        <v>17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A21" s="5" t="s">
        <v>18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5" t="s">
        <v>19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 t="s">
        <v>20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 t="s">
        <v>21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 t="s">
        <v>22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 t="s">
        <v>23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5" t="s">
        <v>24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5" t="s">
        <v>25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A29" s="5" t="s">
        <v>26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25">
      <c r="A30" s="5" t="s">
        <v>27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5">
      <c r="A31" s="5" t="s">
        <v>28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A32" s="5" t="s">
        <v>29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5" t="s">
        <v>30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 t="s">
        <v>31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 t="s">
        <v>32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 t="s">
        <v>33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5" t="s">
        <v>34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5" t="s">
        <v>35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 t="s">
        <v>36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 t="s">
        <v>37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 t="s">
        <v>38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 t="s">
        <v>39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 t="s">
        <v>40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 t="s">
        <v>41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 t="s">
        <v>42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 t="s">
        <v>43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 t="s">
        <v>44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 t="s">
        <v>45</v>
      </c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 t="s">
        <v>46</v>
      </c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 t="s">
        <v>47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 t="s">
        <v>48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 t="s">
        <v>49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 t="s">
        <v>50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 t="s">
        <v>51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 t="s">
        <v>52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 t="s">
        <v>53</v>
      </c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 t="s">
        <v>54</v>
      </c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 t="s">
        <v>55</v>
      </c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 t="s">
        <v>160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 t="s">
        <v>161</v>
      </c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 t="s">
        <v>162</v>
      </c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 t="s">
        <v>163</v>
      </c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 t="s">
        <v>164</v>
      </c>
      <c r="B63" s="5"/>
      <c r="C63" s="5"/>
      <c r="D63" s="5"/>
      <c r="E63" s="5"/>
      <c r="F63" s="5"/>
      <c r="G63" s="5"/>
      <c r="H63" s="5"/>
      <c r="I63" s="5"/>
      <c r="J6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745F-CA22-4004-8E2B-E5CD2876B1F0}">
  <dimension ref="A1:J65"/>
  <sheetViews>
    <sheetView workbookViewId="0">
      <selection activeCell="B10" sqref="B10"/>
    </sheetView>
  </sheetViews>
  <sheetFormatPr defaultRowHeight="15" x14ac:dyDescent="0.25"/>
  <cols>
    <col min="1" max="1" width="10.140625" style="1" customWidth="1"/>
    <col min="2" max="2" width="11" style="1" customWidth="1"/>
    <col min="3" max="3" width="15.5703125" style="1" customWidth="1"/>
    <col min="4" max="4" width="16.28515625" style="1" customWidth="1"/>
    <col min="5" max="5" width="11.28515625" style="1" customWidth="1"/>
    <col min="6" max="6" width="10.7109375" style="1" customWidth="1"/>
    <col min="7" max="7" width="16.28515625" style="1" customWidth="1"/>
    <col min="8" max="8" width="13.28515625" style="1" customWidth="1"/>
    <col min="9" max="9" width="19.85546875" style="1" customWidth="1"/>
    <col min="10" max="10" width="19.85546875" style="1" bestFit="1" customWidth="1"/>
  </cols>
  <sheetData>
    <row r="1" spans="1:10" x14ac:dyDescent="0.25">
      <c r="A1"/>
      <c r="B1"/>
      <c r="C1"/>
      <c r="D1"/>
      <c r="E1"/>
      <c r="F1"/>
      <c r="G1"/>
      <c r="H1"/>
      <c r="I1"/>
      <c r="J1"/>
    </row>
    <row r="2" spans="1:10" ht="33" x14ac:dyDescent="0.45">
      <c r="A2" s="5"/>
      <c r="B2" s="5"/>
      <c r="C2" s="5"/>
      <c r="D2" s="7" t="s">
        <v>165</v>
      </c>
      <c r="E2" s="6"/>
      <c r="F2" s="6"/>
      <c r="G2" s="6"/>
      <c r="H2" s="6"/>
      <c r="I2" s="6"/>
      <c r="J2" s="5"/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.75" x14ac:dyDescent="0.25">
      <c r="A5" s="8" t="s">
        <v>56</v>
      </c>
      <c r="B5" s="8" t="s">
        <v>57</v>
      </c>
      <c r="C5" s="8" t="s">
        <v>58</v>
      </c>
      <c r="D5" s="8" t="s">
        <v>59</v>
      </c>
      <c r="E5" s="8" t="s">
        <v>60</v>
      </c>
      <c r="F5" s="8" t="s">
        <v>61</v>
      </c>
      <c r="G5" s="8" t="s">
        <v>62</v>
      </c>
      <c r="H5" s="8" t="s">
        <v>63</v>
      </c>
      <c r="I5" s="8" t="s">
        <v>64</v>
      </c>
      <c r="J5" s="8" t="s">
        <v>65</v>
      </c>
    </row>
    <row r="6" spans="1:10" x14ac:dyDescent="0.25">
      <c r="A6" s="3">
        <v>46113</v>
      </c>
      <c r="B6" s="2" t="s">
        <v>66</v>
      </c>
      <c r="C6" s="2" t="s">
        <v>67</v>
      </c>
      <c r="D6" s="2" t="s">
        <v>68</v>
      </c>
      <c r="E6" s="2">
        <v>120</v>
      </c>
      <c r="F6" s="2" t="s">
        <v>69</v>
      </c>
      <c r="G6" s="2" t="s">
        <v>70</v>
      </c>
      <c r="H6" s="2" t="s">
        <v>71</v>
      </c>
      <c r="I6" s="2" t="s">
        <v>72</v>
      </c>
      <c r="J6" s="2" t="s">
        <v>73</v>
      </c>
    </row>
    <row r="7" spans="1:10" x14ac:dyDescent="0.25">
      <c r="A7" s="3">
        <v>46113</v>
      </c>
      <c r="B7" s="2" t="s">
        <v>66</v>
      </c>
      <c r="C7" s="2" t="s">
        <v>74</v>
      </c>
      <c r="D7" s="2" t="s">
        <v>75</v>
      </c>
      <c r="E7" s="2">
        <v>50</v>
      </c>
      <c r="F7" s="2" t="s">
        <v>76</v>
      </c>
      <c r="G7" s="2" t="s">
        <v>77</v>
      </c>
      <c r="H7" s="2" t="s">
        <v>78</v>
      </c>
      <c r="I7" s="2" t="s">
        <v>72</v>
      </c>
      <c r="J7" s="2" t="s">
        <v>79</v>
      </c>
    </row>
    <row r="8" spans="1:10" x14ac:dyDescent="0.25">
      <c r="A8" s="3">
        <v>46113</v>
      </c>
      <c r="B8" s="2" t="s">
        <v>66</v>
      </c>
      <c r="C8" s="2" t="s">
        <v>80</v>
      </c>
      <c r="D8" s="2" t="s">
        <v>81</v>
      </c>
      <c r="E8" s="2">
        <v>300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</row>
    <row r="9" spans="1:10" x14ac:dyDescent="0.25">
      <c r="A9" s="3">
        <v>46114</v>
      </c>
      <c r="B9" s="2" t="s">
        <v>87</v>
      </c>
      <c r="C9" s="2" t="s">
        <v>88</v>
      </c>
      <c r="D9" s="2" t="s">
        <v>89</v>
      </c>
      <c r="E9" s="2">
        <v>200</v>
      </c>
      <c r="F9" s="2" t="s">
        <v>90</v>
      </c>
      <c r="G9" s="2" t="s">
        <v>70</v>
      </c>
      <c r="H9" s="2" t="s">
        <v>91</v>
      </c>
      <c r="I9" s="2" t="s">
        <v>92</v>
      </c>
      <c r="J9" s="2" t="s">
        <v>93</v>
      </c>
    </row>
    <row r="10" spans="1:10" x14ac:dyDescent="0.25">
      <c r="A10" s="3">
        <v>46114</v>
      </c>
      <c r="B10" s="2" t="s">
        <v>87</v>
      </c>
      <c r="C10" s="2" t="s">
        <v>94</v>
      </c>
      <c r="D10" s="2" t="s">
        <v>95</v>
      </c>
      <c r="E10" s="2">
        <v>99</v>
      </c>
      <c r="F10" s="2" t="s">
        <v>69</v>
      </c>
      <c r="G10" s="2" t="s">
        <v>77</v>
      </c>
      <c r="H10" s="2" t="s">
        <v>84</v>
      </c>
      <c r="I10" s="2" t="s">
        <v>96</v>
      </c>
      <c r="J10" s="2" t="s">
        <v>97</v>
      </c>
    </row>
    <row r="11" spans="1:10" x14ac:dyDescent="0.25">
      <c r="A11" s="3">
        <v>46114</v>
      </c>
      <c r="B11" s="2" t="s">
        <v>87</v>
      </c>
      <c r="C11" s="2" t="s">
        <v>67</v>
      </c>
      <c r="D11" s="2" t="s">
        <v>98</v>
      </c>
      <c r="E11" s="2">
        <v>180</v>
      </c>
      <c r="F11" s="2" t="s">
        <v>76</v>
      </c>
      <c r="G11" s="2" t="s">
        <v>77</v>
      </c>
      <c r="H11" s="2" t="s">
        <v>99</v>
      </c>
      <c r="I11" s="2" t="s">
        <v>96</v>
      </c>
      <c r="J11" s="2" t="s">
        <v>100</v>
      </c>
    </row>
    <row r="12" spans="1:10" x14ac:dyDescent="0.25">
      <c r="A12" s="3">
        <v>46115</v>
      </c>
      <c r="B12" s="2" t="s">
        <v>101</v>
      </c>
      <c r="C12" s="2" t="s">
        <v>74</v>
      </c>
      <c r="D12" s="2" t="s">
        <v>102</v>
      </c>
      <c r="E12" s="2">
        <v>30</v>
      </c>
      <c r="F12" s="2" t="s">
        <v>76</v>
      </c>
      <c r="G12" s="2" t="s">
        <v>77</v>
      </c>
      <c r="H12" s="2" t="s">
        <v>78</v>
      </c>
      <c r="I12" s="2" t="s">
        <v>72</v>
      </c>
      <c r="J12" s="2" t="s">
        <v>103</v>
      </c>
    </row>
    <row r="13" spans="1:10" x14ac:dyDescent="0.25">
      <c r="A13" s="3">
        <v>46115</v>
      </c>
      <c r="B13" s="2" t="s">
        <v>101</v>
      </c>
      <c r="C13" s="2" t="s">
        <v>67</v>
      </c>
      <c r="D13" s="2" t="s">
        <v>104</v>
      </c>
      <c r="E13" s="2">
        <v>45</v>
      </c>
      <c r="F13" s="2" t="s">
        <v>69</v>
      </c>
      <c r="G13" s="2" t="s">
        <v>70</v>
      </c>
      <c r="H13" s="2" t="s">
        <v>105</v>
      </c>
      <c r="I13" s="2" t="s">
        <v>96</v>
      </c>
      <c r="J13" s="2" t="s">
        <v>106</v>
      </c>
    </row>
    <row r="14" spans="1:10" x14ac:dyDescent="0.25">
      <c r="A14" s="3">
        <v>46115</v>
      </c>
      <c r="B14" s="2" t="s">
        <v>101</v>
      </c>
      <c r="C14" s="2" t="s">
        <v>80</v>
      </c>
      <c r="D14" s="2" t="s">
        <v>107</v>
      </c>
      <c r="E14" s="2">
        <v>150</v>
      </c>
      <c r="F14" s="2" t="s">
        <v>82</v>
      </c>
      <c r="G14" s="2" t="s">
        <v>83</v>
      </c>
      <c r="H14" s="2" t="s">
        <v>91</v>
      </c>
      <c r="I14" s="2" t="s">
        <v>85</v>
      </c>
      <c r="J14" s="2" t="s">
        <v>108</v>
      </c>
    </row>
    <row r="15" spans="1:10" x14ac:dyDescent="0.25">
      <c r="A15" s="3">
        <v>46116</v>
      </c>
      <c r="B15" s="2" t="s">
        <v>109</v>
      </c>
      <c r="C15" s="2" t="s">
        <v>67</v>
      </c>
      <c r="D15" s="2" t="s">
        <v>110</v>
      </c>
      <c r="E15" s="2">
        <v>220</v>
      </c>
      <c r="F15" s="2" t="s">
        <v>111</v>
      </c>
      <c r="G15" s="2" t="s">
        <v>70</v>
      </c>
      <c r="H15" s="2" t="s">
        <v>71</v>
      </c>
      <c r="I15" s="2" t="s">
        <v>96</v>
      </c>
      <c r="J15" s="2" t="s">
        <v>112</v>
      </c>
    </row>
    <row r="16" spans="1:10" x14ac:dyDescent="0.25">
      <c r="A16" s="3">
        <v>46116</v>
      </c>
      <c r="B16" s="2" t="s">
        <v>109</v>
      </c>
      <c r="C16" s="2" t="s">
        <v>88</v>
      </c>
      <c r="D16" s="2" t="s">
        <v>113</v>
      </c>
      <c r="E16" s="2">
        <v>300</v>
      </c>
      <c r="F16" s="2" t="s">
        <v>90</v>
      </c>
      <c r="G16" s="2" t="s">
        <v>70</v>
      </c>
      <c r="H16" s="2" t="s">
        <v>91</v>
      </c>
      <c r="I16" s="2" t="s">
        <v>92</v>
      </c>
      <c r="J16" s="2" t="s">
        <v>114</v>
      </c>
    </row>
    <row r="17" spans="1:10" x14ac:dyDescent="0.25">
      <c r="A17" s="3">
        <v>46116</v>
      </c>
      <c r="B17" s="2" t="s">
        <v>109</v>
      </c>
      <c r="C17" s="2" t="s">
        <v>94</v>
      </c>
      <c r="D17" s="2" t="s">
        <v>115</v>
      </c>
      <c r="E17" s="2">
        <v>120</v>
      </c>
      <c r="F17" s="2" t="s">
        <v>69</v>
      </c>
      <c r="G17" s="2" t="s">
        <v>70</v>
      </c>
      <c r="H17" s="2" t="s">
        <v>116</v>
      </c>
      <c r="I17" s="2" t="s">
        <v>96</v>
      </c>
      <c r="J17" s="2" t="s">
        <v>117</v>
      </c>
    </row>
    <row r="18" spans="1:10" x14ac:dyDescent="0.25">
      <c r="A18" s="3">
        <v>46117</v>
      </c>
      <c r="B18" s="2" t="s">
        <v>118</v>
      </c>
      <c r="C18" s="2" t="s">
        <v>74</v>
      </c>
      <c r="D18" s="2" t="s">
        <v>75</v>
      </c>
      <c r="E18" s="2">
        <v>60</v>
      </c>
      <c r="F18" s="2" t="s">
        <v>76</v>
      </c>
      <c r="G18" s="2" t="s">
        <v>77</v>
      </c>
      <c r="H18" s="2" t="s">
        <v>78</v>
      </c>
      <c r="I18" s="2" t="s">
        <v>72</v>
      </c>
      <c r="J18" s="2" t="s">
        <v>119</v>
      </c>
    </row>
    <row r="19" spans="1:10" x14ac:dyDescent="0.25">
      <c r="A19" s="3">
        <v>46117</v>
      </c>
      <c r="B19" s="2" t="s">
        <v>118</v>
      </c>
      <c r="C19" s="2" t="s">
        <v>67</v>
      </c>
      <c r="D19" s="2" t="s">
        <v>120</v>
      </c>
      <c r="E19" s="2">
        <v>90</v>
      </c>
      <c r="F19" s="2" t="s">
        <v>69</v>
      </c>
      <c r="G19" s="2" t="s">
        <v>70</v>
      </c>
      <c r="H19" s="2" t="s">
        <v>110</v>
      </c>
      <c r="I19" s="2" t="s">
        <v>72</v>
      </c>
      <c r="J19" s="2" t="s">
        <v>121</v>
      </c>
    </row>
    <row r="20" spans="1:10" x14ac:dyDescent="0.25">
      <c r="A20" s="3">
        <v>46117</v>
      </c>
      <c r="B20" s="2" t="s">
        <v>118</v>
      </c>
      <c r="C20" s="2" t="s">
        <v>80</v>
      </c>
      <c r="D20" s="2" t="s">
        <v>122</v>
      </c>
      <c r="E20" s="2">
        <v>1500</v>
      </c>
      <c r="F20" s="2" t="s">
        <v>82</v>
      </c>
      <c r="G20" s="2" t="s">
        <v>83</v>
      </c>
      <c r="H20" s="2" t="s">
        <v>84</v>
      </c>
      <c r="I20" s="2" t="s">
        <v>85</v>
      </c>
      <c r="J20" s="2" t="s">
        <v>123</v>
      </c>
    </row>
    <row r="21" spans="1:10" x14ac:dyDescent="0.25">
      <c r="A21" s="3">
        <v>46118</v>
      </c>
      <c r="B21" s="2" t="s">
        <v>124</v>
      </c>
      <c r="C21" s="2" t="s">
        <v>94</v>
      </c>
      <c r="D21" s="2" t="s">
        <v>125</v>
      </c>
      <c r="E21" s="2">
        <v>400</v>
      </c>
      <c r="F21" s="2" t="s">
        <v>111</v>
      </c>
      <c r="G21" s="2" t="s">
        <v>70</v>
      </c>
      <c r="H21" s="2" t="s">
        <v>71</v>
      </c>
      <c r="I21" s="2" t="s">
        <v>96</v>
      </c>
      <c r="J21" s="2" t="s">
        <v>126</v>
      </c>
    </row>
    <row r="22" spans="1:10" x14ac:dyDescent="0.25">
      <c r="A22" s="3">
        <v>46118</v>
      </c>
      <c r="B22" s="2" t="s">
        <v>124</v>
      </c>
      <c r="C22" s="2" t="s">
        <v>67</v>
      </c>
      <c r="D22" s="2" t="s">
        <v>98</v>
      </c>
      <c r="E22" s="2">
        <v>200</v>
      </c>
      <c r="F22" s="2" t="s">
        <v>76</v>
      </c>
      <c r="G22" s="2" t="s">
        <v>77</v>
      </c>
      <c r="H22" s="2" t="s">
        <v>99</v>
      </c>
      <c r="I22" s="2" t="s">
        <v>96</v>
      </c>
      <c r="J22" s="2" t="s">
        <v>127</v>
      </c>
    </row>
    <row r="23" spans="1:10" x14ac:dyDescent="0.25">
      <c r="A23" s="3">
        <v>46119</v>
      </c>
      <c r="B23" s="2" t="s">
        <v>128</v>
      </c>
      <c r="C23" s="2" t="s">
        <v>67</v>
      </c>
      <c r="D23" s="2" t="s">
        <v>110</v>
      </c>
      <c r="E23" s="2">
        <v>180</v>
      </c>
      <c r="F23" s="2" t="s">
        <v>69</v>
      </c>
      <c r="G23" s="2" t="s">
        <v>70</v>
      </c>
      <c r="H23" s="2" t="s">
        <v>105</v>
      </c>
      <c r="I23" s="2" t="s">
        <v>96</v>
      </c>
      <c r="J23" s="2" t="s">
        <v>129</v>
      </c>
    </row>
    <row r="24" spans="1:10" x14ac:dyDescent="0.25">
      <c r="A24" s="3">
        <v>46119</v>
      </c>
      <c r="B24" s="2" t="s">
        <v>128</v>
      </c>
      <c r="C24" s="2" t="s">
        <v>94</v>
      </c>
      <c r="D24" s="2" t="s">
        <v>130</v>
      </c>
      <c r="E24" s="2">
        <v>99</v>
      </c>
      <c r="F24" s="2" t="s">
        <v>131</v>
      </c>
      <c r="G24" s="2" t="s">
        <v>83</v>
      </c>
      <c r="H24" s="2" t="s">
        <v>84</v>
      </c>
      <c r="I24" s="2" t="s">
        <v>96</v>
      </c>
      <c r="J24" s="2" t="s">
        <v>132</v>
      </c>
    </row>
    <row r="25" spans="1:10" x14ac:dyDescent="0.25">
      <c r="A25" s="3">
        <v>46120</v>
      </c>
      <c r="B25" s="2" t="s">
        <v>66</v>
      </c>
      <c r="C25" s="2" t="s">
        <v>80</v>
      </c>
      <c r="D25" s="2" t="s">
        <v>133</v>
      </c>
      <c r="E25" s="2">
        <v>120</v>
      </c>
      <c r="F25" s="2" t="s">
        <v>82</v>
      </c>
      <c r="G25" s="2" t="s">
        <v>83</v>
      </c>
      <c r="H25" s="2" t="s">
        <v>84</v>
      </c>
      <c r="I25" s="2" t="s">
        <v>85</v>
      </c>
      <c r="J25" s="2" t="s">
        <v>134</v>
      </c>
    </row>
    <row r="26" spans="1:10" x14ac:dyDescent="0.25">
      <c r="A26" s="3">
        <v>46120</v>
      </c>
      <c r="B26" s="2" t="s">
        <v>66</v>
      </c>
      <c r="C26" s="2" t="s">
        <v>88</v>
      </c>
      <c r="D26" s="2" t="s">
        <v>113</v>
      </c>
      <c r="E26" s="2">
        <v>300</v>
      </c>
      <c r="F26" s="2" t="s">
        <v>90</v>
      </c>
      <c r="G26" s="2" t="s">
        <v>70</v>
      </c>
      <c r="H26" s="2" t="s">
        <v>91</v>
      </c>
      <c r="I26" s="2" t="s">
        <v>92</v>
      </c>
      <c r="J26" s="2" t="s">
        <v>135</v>
      </c>
    </row>
    <row r="27" spans="1:10" x14ac:dyDescent="0.25">
      <c r="A27" s="3">
        <v>46121</v>
      </c>
      <c r="B27" s="2" t="s">
        <v>87</v>
      </c>
      <c r="C27" s="2" t="s">
        <v>74</v>
      </c>
      <c r="D27" s="2" t="s">
        <v>102</v>
      </c>
      <c r="E27" s="2">
        <v>25</v>
      </c>
      <c r="F27" s="2" t="s">
        <v>76</v>
      </c>
      <c r="G27" s="2" t="s">
        <v>77</v>
      </c>
      <c r="H27" s="2" t="s">
        <v>78</v>
      </c>
      <c r="I27" s="2" t="s">
        <v>72</v>
      </c>
      <c r="J27" s="2" t="s">
        <v>136</v>
      </c>
    </row>
    <row r="28" spans="1:10" x14ac:dyDescent="0.25">
      <c r="A28" s="3">
        <v>46121</v>
      </c>
      <c r="B28" s="2" t="s">
        <v>87</v>
      </c>
      <c r="C28" s="2" t="s">
        <v>67</v>
      </c>
      <c r="D28" s="2" t="s">
        <v>137</v>
      </c>
      <c r="E28" s="2">
        <v>40</v>
      </c>
      <c r="F28" s="2" t="s">
        <v>69</v>
      </c>
      <c r="G28" s="2" t="s">
        <v>70</v>
      </c>
      <c r="H28" s="2" t="s">
        <v>105</v>
      </c>
      <c r="I28" s="2" t="s">
        <v>96</v>
      </c>
      <c r="J28" s="2" t="s">
        <v>138</v>
      </c>
    </row>
    <row r="29" spans="1:10" x14ac:dyDescent="0.25">
      <c r="A29" s="3">
        <v>46121</v>
      </c>
      <c r="B29" s="2" t="s">
        <v>87</v>
      </c>
      <c r="C29" s="2" t="s">
        <v>94</v>
      </c>
      <c r="D29" s="2" t="s">
        <v>139</v>
      </c>
      <c r="E29" s="2">
        <v>150</v>
      </c>
      <c r="F29" s="2" t="s">
        <v>111</v>
      </c>
      <c r="G29" s="2" t="s">
        <v>70</v>
      </c>
      <c r="H29" s="2" t="s">
        <v>84</v>
      </c>
      <c r="I29" s="2" t="s">
        <v>96</v>
      </c>
      <c r="J29" s="2" t="s">
        <v>140</v>
      </c>
    </row>
    <row r="30" spans="1:10" x14ac:dyDescent="0.25">
      <c r="A30" s="3">
        <v>46122</v>
      </c>
      <c r="B30" s="2" t="s">
        <v>101</v>
      </c>
      <c r="C30" s="2" t="s">
        <v>80</v>
      </c>
      <c r="D30" s="2" t="s">
        <v>141</v>
      </c>
      <c r="E30" s="2">
        <v>200</v>
      </c>
      <c r="F30" s="2" t="s">
        <v>82</v>
      </c>
      <c r="G30" s="2" t="s">
        <v>83</v>
      </c>
      <c r="H30" s="2" t="s">
        <v>84</v>
      </c>
      <c r="I30" s="2" t="s">
        <v>85</v>
      </c>
      <c r="J30" s="2" t="s">
        <v>142</v>
      </c>
    </row>
    <row r="31" spans="1:10" x14ac:dyDescent="0.25">
      <c r="A31" s="3">
        <v>46122</v>
      </c>
      <c r="B31" s="2" t="s">
        <v>101</v>
      </c>
      <c r="C31" s="2" t="s">
        <v>67</v>
      </c>
      <c r="D31" s="2" t="s">
        <v>98</v>
      </c>
      <c r="E31" s="2">
        <v>170</v>
      </c>
      <c r="F31" s="2" t="s">
        <v>76</v>
      </c>
      <c r="G31" s="2" t="s">
        <v>77</v>
      </c>
      <c r="H31" s="2" t="s">
        <v>99</v>
      </c>
      <c r="I31" s="2" t="s">
        <v>96</v>
      </c>
      <c r="J31" s="2" t="s">
        <v>143</v>
      </c>
    </row>
    <row r="32" spans="1:10" x14ac:dyDescent="0.25">
      <c r="A32" s="3">
        <v>46122</v>
      </c>
      <c r="B32" s="2" t="s">
        <v>101</v>
      </c>
      <c r="C32" s="2" t="s">
        <v>88</v>
      </c>
      <c r="D32" s="2" t="s">
        <v>89</v>
      </c>
      <c r="E32" s="2">
        <v>300</v>
      </c>
      <c r="F32" s="2" t="s">
        <v>90</v>
      </c>
      <c r="G32" s="2" t="s">
        <v>70</v>
      </c>
      <c r="H32" s="2" t="s">
        <v>91</v>
      </c>
      <c r="I32" s="2" t="s">
        <v>92</v>
      </c>
      <c r="J32" s="2" t="s">
        <v>144</v>
      </c>
    </row>
    <row r="33" spans="1:10" x14ac:dyDescent="0.25">
      <c r="A33" s="3">
        <v>46123</v>
      </c>
      <c r="B33" s="2" t="s">
        <v>109</v>
      </c>
      <c r="C33" s="2" t="s">
        <v>67</v>
      </c>
      <c r="D33" s="2" t="s">
        <v>68</v>
      </c>
      <c r="E33" s="2">
        <v>130</v>
      </c>
      <c r="F33" s="2" t="s">
        <v>69</v>
      </c>
      <c r="G33" s="2" t="s">
        <v>70</v>
      </c>
      <c r="H33" s="2" t="s">
        <v>71</v>
      </c>
      <c r="I33" s="2" t="s">
        <v>72</v>
      </c>
      <c r="J33" s="2" t="s">
        <v>145</v>
      </c>
    </row>
    <row r="34" spans="1:10" x14ac:dyDescent="0.25">
      <c r="A34" s="3">
        <v>46123</v>
      </c>
      <c r="B34" s="2" t="s">
        <v>109</v>
      </c>
      <c r="C34" s="2" t="s">
        <v>74</v>
      </c>
      <c r="D34" s="2" t="s">
        <v>75</v>
      </c>
      <c r="E34" s="2">
        <v>55</v>
      </c>
      <c r="F34" s="2" t="s">
        <v>76</v>
      </c>
      <c r="G34" s="2" t="s">
        <v>77</v>
      </c>
      <c r="H34" s="2" t="s">
        <v>78</v>
      </c>
      <c r="I34" s="2" t="s">
        <v>72</v>
      </c>
      <c r="J34" s="2" t="s">
        <v>146</v>
      </c>
    </row>
    <row r="35" spans="1:10" x14ac:dyDescent="0.25">
      <c r="A35" s="3">
        <v>46123</v>
      </c>
      <c r="B35" s="2" t="s">
        <v>109</v>
      </c>
      <c r="C35" s="2" t="s">
        <v>94</v>
      </c>
      <c r="D35" s="2" t="s">
        <v>115</v>
      </c>
      <c r="E35" s="2">
        <v>140</v>
      </c>
      <c r="F35" s="2" t="s">
        <v>111</v>
      </c>
      <c r="G35" s="2" t="s">
        <v>70</v>
      </c>
      <c r="H35" s="2" t="s">
        <v>116</v>
      </c>
      <c r="I35" s="2" t="s">
        <v>96</v>
      </c>
      <c r="J35" s="2" t="s">
        <v>147</v>
      </c>
    </row>
    <row r="36" spans="1:10" x14ac:dyDescent="0.25">
      <c r="A36" s="3">
        <v>46124</v>
      </c>
      <c r="B36" s="2" t="s">
        <v>118</v>
      </c>
      <c r="C36" s="2" t="s">
        <v>80</v>
      </c>
      <c r="D36" s="2" t="s">
        <v>81</v>
      </c>
      <c r="E36" s="2">
        <v>280</v>
      </c>
      <c r="F36" s="2" t="s">
        <v>82</v>
      </c>
      <c r="G36" s="2" t="s">
        <v>83</v>
      </c>
      <c r="H36" s="2" t="s">
        <v>84</v>
      </c>
      <c r="I36" s="2" t="s">
        <v>85</v>
      </c>
      <c r="J36" s="2" t="s">
        <v>86</v>
      </c>
    </row>
    <row r="37" spans="1:10" x14ac:dyDescent="0.25">
      <c r="A37" s="3">
        <v>46124</v>
      </c>
      <c r="B37" s="2" t="s">
        <v>118</v>
      </c>
      <c r="C37" s="2" t="s">
        <v>67</v>
      </c>
      <c r="D37" s="2" t="s">
        <v>120</v>
      </c>
      <c r="E37" s="2">
        <v>95</v>
      </c>
      <c r="F37" s="2" t="s">
        <v>69</v>
      </c>
      <c r="G37" s="2" t="s">
        <v>70</v>
      </c>
      <c r="H37" s="2" t="s">
        <v>110</v>
      </c>
      <c r="I37" s="2" t="s">
        <v>72</v>
      </c>
      <c r="J37" s="2" t="s">
        <v>148</v>
      </c>
    </row>
    <row r="38" spans="1:10" x14ac:dyDescent="0.25">
      <c r="A38" s="3">
        <v>46124</v>
      </c>
      <c r="B38" s="2" t="s">
        <v>118</v>
      </c>
      <c r="C38" s="2" t="s">
        <v>88</v>
      </c>
      <c r="D38" s="2" t="s">
        <v>113</v>
      </c>
      <c r="E38" s="2">
        <v>300</v>
      </c>
      <c r="F38" s="2" t="s">
        <v>90</v>
      </c>
      <c r="G38" s="2" t="s">
        <v>70</v>
      </c>
      <c r="H38" s="2" t="s">
        <v>91</v>
      </c>
      <c r="I38" s="2" t="s">
        <v>92</v>
      </c>
      <c r="J38" s="2" t="s">
        <v>149</v>
      </c>
    </row>
    <row r="39" spans="1:10" x14ac:dyDescent="0.25">
      <c r="A39" s="3">
        <v>46125</v>
      </c>
      <c r="B39" s="2" t="s">
        <v>124</v>
      </c>
      <c r="C39" s="2" t="s">
        <v>94</v>
      </c>
      <c r="D39" s="2" t="s">
        <v>125</v>
      </c>
      <c r="E39" s="2">
        <v>500</v>
      </c>
      <c r="F39" s="2" t="s">
        <v>111</v>
      </c>
      <c r="G39" s="2" t="s">
        <v>70</v>
      </c>
      <c r="H39" s="2" t="s">
        <v>71</v>
      </c>
      <c r="I39" s="2" t="s">
        <v>96</v>
      </c>
      <c r="J39" s="2" t="s">
        <v>150</v>
      </c>
    </row>
    <row r="40" spans="1:10" x14ac:dyDescent="0.25">
      <c r="A40" s="3">
        <v>46125</v>
      </c>
      <c r="B40" s="2" t="s">
        <v>124</v>
      </c>
      <c r="C40" s="2" t="s">
        <v>67</v>
      </c>
      <c r="D40" s="2" t="s">
        <v>98</v>
      </c>
      <c r="E40" s="2">
        <v>210</v>
      </c>
      <c r="F40" s="2" t="s">
        <v>76</v>
      </c>
      <c r="G40" s="2" t="s">
        <v>77</v>
      </c>
      <c r="H40" s="2" t="s">
        <v>99</v>
      </c>
      <c r="I40" s="2" t="s">
        <v>96</v>
      </c>
      <c r="J40" s="2" t="s">
        <v>151</v>
      </c>
    </row>
    <row r="41" spans="1:10" x14ac:dyDescent="0.25">
      <c r="A41" s="3">
        <v>46125</v>
      </c>
      <c r="B41" s="2" t="s">
        <v>124</v>
      </c>
      <c r="C41" s="2" t="s">
        <v>74</v>
      </c>
      <c r="D41" s="2" t="s">
        <v>102</v>
      </c>
      <c r="E41" s="2">
        <v>35</v>
      </c>
      <c r="F41" s="2" t="s">
        <v>76</v>
      </c>
      <c r="G41" s="2" t="s">
        <v>77</v>
      </c>
      <c r="H41" s="2" t="s">
        <v>78</v>
      </c>
      <c r="I41" s="2" t="s">
        <v>72</v>
      </c>
      <c r="J41" s="2" t="s">
        <v>146</v>
      </c>
    </row>
    <row r="42" spans="1:10" x14ac:dyDescent="0.25">
      <c r="A42" s="3">
        <v>46126</v>
      </c>
      <c r="B42" s="2" t="s">
        <v>128</v>
      </c>
      <c r="C42" s="2" t="s">
        <v>67</v>
      </c>
      <c r="D42" s="2" t="s">
        <v>110</v>
      </c>
      <c r="E42" s="2">
        <v>190</v>
      </c>
      <c r="F42" s="2" t="s">
        <v>69</v>
      </c>
      <c r="G42" s="2" t="s">
        <v>70</v>
      </c>
      <c r="H42" s="2" t="s">
        <v>105</v>
      </c>
      <c r="I42" s="2" t="s">
        <v>96</v>
      </c>
      <c r="J42" s="2" t="s">
        <v>152</v>
      </c>
    </row>
    <row r="43" spans="1:10" x14ac:dyDescent="0.25">
      <c r="A43" s="3">
        <v>46126</v>
      </c>
      <c r="B43" s="2" t="s">
        <v>128</v>
      </c>
      <c r="C43" s="2" t="s">
        <v>94</v>
      </c>
      <c r="D43" s="2" t="s">
        <v>130</v>
      </c>
      <c r="E43" s="2">
        <v>99</v>
      </c>
      <c r="F43" s="2" t="s">
        <v>131</v>
      </c>
      <c r="G43" s="2" t="s">
        <v>83</v>
      </c>
      <c r="H43" s="2" t="s">
        <v>84</v>
      </c>
      <c r="I43" s="2" t="s">
        <v>96</v>
      </c>
      <c r="J43" s="2" t="s">
        <v>132</v>
      </c>
    </row>
    <row r="44" spans="1:10" x14ac:dyDescent="0.25">
      <c r="A44" s="3">
        <v>46127</v>
      </c>
      <c r="B44" s="2" t="s">
        <v>66</v>
      </c>
      <c r="C44" s="2" t="s">
        <v>80</v>
      </c>
      <c r="D44" s="2" t="s">
        <v>141</v>
      </c>
      <c r="E44" s="2">
        <v>210</v>
      </c>
      <c r="F44" s="2" t="s">
        <v>82</v>
      </c>
      <c r="G44" s="2" t="s">
        <v>83</v>
      </c>
      <c r="H44" s="2" t="s">
        <v>84</v>
      </c>
      <c r="I44" s="2" t="s">
        <v>85</v>
      </c>
      <c r="J44" s="2" t="s">
        <v>142</v>
      </c>
    </row>
    <row r="45" spans="1:10" x14ac:dyDescent="0.25">
      <c r="A45" s="3">
        <v>46127</v>
      </c>
      <c r="B45" s="2" t="s">
        <v>66</v>
      </c>
      <c r="C45" s="2" t="s">
        <v>88</v>
      </c>
      <c r="D45" s="2" t="s">
        <v>89</v>
      </c>
      <c r="E45" s="2">
        <v>300</v>
      </c>
      <c r="F45" s="2" t="s">
        <v>90</v>
      </c>
      <c r="G45" s="2" t="s">
        <v>70</v>
      </c>
      <c r="H45" s="2" t="s">
        <v>91</v>
      </c>
      <c r="I45" s="2" t="s">
        <v>92</v>
      </c>
      <c r="J45" s="2" t="s">
        <v>144</v>
      </c>
    </row>
    <row r="46" spans="1:10" x14ac:dyDescent="0.25">
      <c r="A46" s="3">
        <v>46127</v>
      </c>
      <c r="B46" s="2" t="s">
        <v>66</v>
      </c>
      <c r="C46" s="2" t="s">
        <v>67</v>
      </c>
      <c r="D46" s="2" t="s">
        <v>104</v>
      </c>
      <c r="E46" s="2">
        <v>50</v>
      </c>
      <c r="F46" s="2" t="s">
        <v>69</v>
      </c>
      <c r="G46" s="2" t="s">
        <v>70</v>
      </c>
      <c r="H46" s="2" t="s">
        <v>105</v>
      </c>
      <c r="I46" s="2" t="s">
        <v>96</v>
      </c>
      <c r="J46" s="2" t="s">
        <v>106</v>
      </c>
    </row>
    <row r="47" spans="1:10" x14ac:dyDescent="0.25">
      <c r="A47" s="3">
        <v>46128</v>
      </c>
      <c r="B47" s="2" t="s">
        <v>87</v>
      </c>
      <c r="C47" s="2" t="s">
        <v>74</v>
      </c>
      <c r="D47" s="2" t="s">
        <v>75</v>
      </c>
      <c r="E47" s="2">
        <v>65</v>
      </c>
      <c r="F47" s="2" t="s">
        <v>76</v>
      </c>
      <c r="G47" s="2" t="s">
        <v>77</v>
      </c>
      <c r="H47" s="2" t="s">
        <v>78</v>
      </c>
      <c r="I47" s="2" t="s">
        <v>72</v>
      </c>
      <c r="J47" s="2" t="s">
        <v>153</v>
      </c>
    </row>
    <row r="48" spans="1:10" x14ac:dyDescent="0.25">
      <c r="A48" s="3">
        <v>46128</v>
      </c>
      <c r="B48" s="2" t="s">
        <v>87</v>
      </c>
      <c r="C48" s="2" t="s">
        <v>67</v>
      </c>
      <c r="D48" s="2" t="s">
        <v>68</v>
      </c>
      <c r="E48" s="2">
        <v>140</v>
      </c>
      <c r="F48" s="2" t="s">
        <v>69</v>
      </c>
      <c r="G48" s="2" t="s">
        <v>70</v>
      </c>
      <c r="H48" s="2" t="s">
        <v>71</v>
      </c>
      <c r="I48" s="2" t="s">
        <v>72</v>
      </c>
      <c r="J48" s="2" t="s">
        <v>154</v>
      </c>
    </row>
    <row r="49" spans="1:10" x14ac:dyDescent="0.25">
      <c r="A49" s="3">
        <v>46128</v>
      </c>
      <c r="B49" s="2" t="s">
        <v>87</v>
      </c>
      <c r="C49" s="2" t="s">
        <v>94</v>
      </c>
      <c r="D49" s="2" t="s">
        <v>139</v>
      </c>
      <c r="E49" s="2">
        <v>160</v>
      </c>
      <c r="F49" s="2" t="s">
        <v>111</v>
      </c>
      <c r="G49" s="2" t="s">
        <v>70</v>
      </c>
      <c r="H49" s="2" t="s">
        <v>84</v>
      </c>
      <c r="I49" s="2" t="s">
        <v>96</v>
      </c>
      <c r="J49" s="2" t="s">
        <v>155</v>
      </c>
    </row>
    <row r="50" spans="1:10" x14ac:dyDescent="0.25">
      <c r="A50" s="3">
        <v>46129</v>
      </c>
      <c r="B50" s="2" t="s">
        <v>101</v>
      </c>
      <c r="C50" s="2" t="s">
        <v>80</v>
      </c>
      <c r="D50" s="2" t="s">
        <v>133</v>
      </c>
      <c r="E50" s="2">
        <v>110</v>
      </c>
      <c r="F50" s="2" t="s">
        <v>82</v>
      </c>
      <c r="G50" s="2" t="s">
        <v>83</v>
      </c>
      <c r="H50" s="2" t="s">
        <v>84</v>
      </c>
      <c r="I50" s="2" t="s">
        <v>85</v>
      </c>
      <c r="J50" s="2" t="s">
        <v>134</v>
      </c>
    </row>
    <row r="51" spans="1:10" x14ac:dyDescent="0.25">
      <c r="A51" s="3">
        <v>46129</v>
      </c>
      <c r="B51" s="2" t="s">
        <v>101</v>
      </c>
      <c r="C51" s="2" t="s">
        <v>67</v>
      </c>
      <c r="D51" s="2" t="s">
        <v>98</v>
      </c>
      <c r="E51" s="2">
        <v>180</v>
      </c>
      <c r="F51" s="2" t="s">
        <v>76</v>
      </c>
      <c r="G51" s="2" t="s">
        <v>77</v>
      </c>
      <c r="H51" s="2" t="s">
        <v>99</v>
      </c>
      <c r="I51" s="2" t="s">
        <v>96</v>
      </c>
      <c r="J51" s="2" t="s">
        <v>100</v>
      </c>
    </row>
    <row r="52" spans="1:10" x14ac:dyDescent="0.25">
      <c r="A52" s="3">
        <v>46129</v>
      </c>
      <c r="B52" s="2" t="s">
        <v>101</v>
      </c>
      <c r="C52" s="2" t="s">
        <v>88</v>
      </c>
      <c r="D52" s="2" t="s">
        <v>113</v>
      </c>
      <c r="E52" s="2">
        <v>300</v>
      </c>
      <c r="F52" s="2" t="s">
        <v>90</v>
      </c>
      <c r="G52" s="2" t="s">
        <v>70</v>
      </c>
      <c r="H52" s="2" t="s">
        <v>91</v>
      </c>
      <c r="I52" s="2" t="s">
        <v>92</v>
      </c>
      <c r="J52" s="2" t="s">
        <v>156</v>
      </c>
    </row>
    <row r="53" spans="1:10" x14ac:dyDescent="0.25">
      <c r="A53" s="3">
        <v>46130</v>
      </c>
      <c r="B53" s="2" t="s">
        <v>109</v>
      </c>
      <c r="C53" s="2" t="s">
        <v>67</v>
      </c>
      <c r="D53" s="2" t="s">
        <v>110</v>
      </c>
      <c r="E53" s="2">
        <v>230</v>
      </c>
      <c r="F53" s="2" t="s">
        <v>111</v>
      </c>
      <c r="G53" s="2" t="s">
        <v>70</v>
      </c>
      <c r="H53" s="2" t="s">
        <v>105</v>
      </c>
      <c r="I53" s="2" t="s">
        <v>96</v>
      </c>
      <c r="J53" s="2" t="s">
        <v>112</v>
      </c>
    </row>
    <row r="54" spans="1:10" x14ac:dyDescent="0.25">
      <c r="A54" s="3">
        <v>46130</v>
      </c>
      <c r="B54" s="2" t="s">
        <v>109</v>
      </c>
      <c r="C54" s="2" t="s">
        <v>74</v>
      </c>
      <c r="D54" s="2" t="s">
        <v>102</v>
      </c>
      <c r="E54" s="2">
        <v>30</v>
      </c>
      <c r="F54" s="2" t="s">
        <v>76</v>
      </c>
      <c r="G54" s="2" t="s">
        <v>77</v>
      </c>
      <c r="H54" s="2" t="s">
        <v>78</v>
      </c>
      <c r="I54" s="2" t="s">
        <v>72</v>
      </c>
      <c r="J54" s="2" t="s">
        <v>146</v>
      </c>
    </row>
    <row r="55" spans="1:10" x14ac:dyDescent="0.25">
      <c r="A55" s="3">
        <v>46130</v>
      </c>
      <c r="B55" s="2" t="s">
        <v>109</v>
      </c>
      <c r="C55" s="2" t="s">
        <v>94</v>
      </c>
      <c r="D55" s="2" t="s">
        <v>115</v>
      </c>
      <c r="E55" s="2">
        <v>130</v>
      </c>
      <c r="F55" s="2" t="s">
        <v>69</v>
      </c>
      <c r="G55" s="2" t="s">
        <v>70</v>
      </c>
      <c r="H55" s="2" t="s">
        <v>116</v>
      </c>
      <c r="I55" s="2" t="s">
        <v>96</v>
      </c>
      <c r="J55" s="2" t="s">
        <v>117</v>
      </c>
    </row>
    <row r="56" spans="1:10" x14ac:dyDescent="0.25">
      <c r="A56" s="3">
        <v>46131</v>
      </c>
      <c r="B56" s="2" t="s">
        <v>118</v>
      </c>
      <c r="C56" s="2" t="s">
        <v>80</v>
      </c>
      <c r="D56" s="2" t="s">
        <v>122</v>
      </c>
      <c r="E56" s="2">
        <v>1500</v>
      </c>
      <c r="F56" s="2" t="s">
        <v>82</v>
      </c>
      <c r="G56" s="2" t="s">
        <v>83</v>
      </c>
      <c r="H56" s="2" t="s">
        <v>84</v>
      </c>
      <c r="I56" s="2" t="s">
        <v>85</v>
      </c>
      <c r="J56" s="2" t="s">
        <v>123</v>
      </c>
    </row>
    <row r="57" spans="1:10" x14ac:dyDescent="0.25">
      <c r="A57" s="3">
        <v>46131</v>
      </c>
      <c r="B57" s="2" t="s">
        <v>118</v>
      </c>
      <c r="C57" s="2" t="s">
        <v>67</v>
      </c>
      <c r="D57" s="2" t="s">
        <v>120</v>
      </c>
      <c r="E57" s="2">
        <v>100</v>
      </c>
      <c r="F57" s="2" t="s">
        <v>69</v>
      </c>
      <c r="G57" s="2" t="s">
        <v>70</v>
      </c>
      <c r="H57" s="2" t="s">
        <v>110</v>
      </c>
      <c r="I57" s="2" t="s">
        <v>72</v>
      </c>
      <c r="J57" s="2" t="s">
        <v>121</v>
      </c>
    </row>
    <row r="58" spans="1:10" x14ac:dyDescent="0.25">
      <c r="A58" s="3">
        <v>46131</v>
      </c>
      <c r="B58" s="2" t="s">
        <v>118</v>
      </c>
      <c r="C58" s="2" t="s">
        <v>88</v>
      </c>
      <c r="D58" s="2" t="s">
        <v>89</v>
      </c>
      <c r="E58" s="2">
        <v>300</v>
      </c>
      <c r="F58" s="2" t="s">
        <v>90</v>
      </c>
      <c r="G58" s="2" t="s">
        <v>70</v>
      </c>
      <c r="H58" s="2" t="s">
        <v>91</v>
      </c>
      <c r="I58" s="2" t="s">
        <v>92</v>
      </c>
      <c r="J58" s="2" t="s">
        <v>93</v>
      </c>
    </row>
    <row r="59" spans="1:10" x14ac:dyDescent="0.25">
      <c r="A59" s="3">
        <v>46132</v>
      </c>
      <c r="B59" s="2" t="s">
        <v>124</v>
      </c>
      <c r="C59" s="2" t="s">
        <v>94</v>
      </c>
      <c r="D59" s="2" t="s">
        <v>125</v>
      </c>
      <c r="E59" s="2">
        <v>450</v>
      </c>
      <c r="F59" s="2" t="s">
        <v>111</v>
      </c>
      <c r="G59" s="2" t="s">
        <v>70</v>
      </c>
      <c r="H59" s="2" t="s">
        <v>71</v>
      </c>
      <c r="I59" s="2" t="s">
        <v>96</v>
      </c>
      <c r="J59" s="2" t="s">
        <v>126</v>
      </c>
    </row>
    <row r="60" spans="1:10" x14ac:dyDescent="0.25">
      <c r="A60" s="3">
        <v>46132</v>
      </c>
      <c r="B60" s="2" t="s">
        <v>124</v>
      </c>
      <c r="C60" s="2" t="s">
        <v>67</v>
      </c>
      <c r="D60" s="2" t="s">
        <v>98</v>
      </c>
      <c r="E60" s="2">
        <v>220</v>
      </c>
      <c r="F60" s="2" t="s">
        <v>76</v>
      </c>
      <c r="G60" s="2" t="s">
        <v>77</v>
      </c>
      <c r="H60" s="2" t="s">
        <v>99</v>
      </c>
      <c r="I60" s="2" t="s">
        <v>96</v>
      </c>
      <c r="J60" s="2" t="s">
        <v>127</v>
      </c>
    </row>
    <row r="61" spans="1:10" x14ac:dyDescent="0.25">
      <c r="A61" s="3">
        <v>46133</v>
      </c>
      <c r="B61" s="2" t="s">
        <v>128</v>
      </c>
      <c r="C61" s="2" t="s">
        <v>67</v>
      </c>
      <c r="D61" s="2" t="s">
        <v>110</v>
      </c>
      <c r="E61" s="2">
        <v>200</v>
      </c>
      <c r="F61" s="2" t="s">
        <v>69</v>
      </c>
      <c r="G61" s="2" t="s">
        <v>70</v>
      </c>
      <c r="H61" s="2" t="s">
        <v>105</v>
      </c>
      <c r="I61" s="2" t="s">
        <v>96</v>
      </c>
      <c r="J61" s="2" t="s">
        <v>157</v>
      </c>
    </row>
    <row r="62" spans="1:10" x14ac:dyDescent="0.25">
      <c r="A62" s="3">
        <v>46133</v>
      </c>
      <c r="B62" s="2" t="s">
        <v>128</v>
      </c>
      <c r="C62" s="2" t="s">
        <v>94</v>
      </c>
      <c r="D62" s="2" t="s">
        <v>130</v>
      </c>
      <c r="E62" s="2">
        <v>99</v>
      </c>
      <c r="F62" s="2" t="s">
        <v>131</v>
      </c>
      <c r="G62" s="2" t="s">
        <v>83</v>
      </c>
      <c r="H62" s="2" t="s">
        <v>84</v>
      </c>
      <c r="I62" s="2" t="s">
        <v>96</v>
      </c>
      <c r="J62" s="2" t="s">
        <v>132</v>
      </c>
    </row>
    <row r="63" spans="1:10" x14ac:dyDescent="0.25">
      <c r="A63" s="3">
        <v>46134</v>
      </c>
      <c r="B63" s="2" t="s">
        <v>66</v>
      </c>
      <c r="C63" s="2" t="s">
        <v>80</v>
      </c>
      <c r="D63" s="2" t="s">
        <v>81</v>
      </c>
      <c r="E63" s="2">
        <v>290</v>
      </c>
      <c r="F63" s="2" t="s">
        <v>82</v>
      </c>
      <c r="G63" s="2" t="s">
        <v>83</v>
      </c>
      <c r="H63" s="2" t="s">
        <v>78</v>
      </c>
      <c r="I63" s="2" t="s">
        <v>85</v>
      </c>
      <c r="J63" s="2" t="s">
        <v>158</v>
      </c>
    </row>
    <row r="64" spans="1:10" x14ac:dyDescent="0.25">
      <c r="A64" s="3">
        <v>46134</v>
      </c>
      <c r="B64" s="2" t="s">
        <v>66</v>
      </c>
      <c r="C64" s="2" t="s">
        <v>67</v>
      </c>
      <c r="D64" s="2" t="s">
        <v>98</v>
      </c>
      <c r="E64" s="2">
        <v>190</v>
      </c>
      <c r="F64" s="2" t="s">
        <v>76</v>
      </c>
      <c r="G64" s="2" t="s">
        <v>77</v>
      </c>
      <c r="H64" s="2" t="s">
        <v>99</v>
      </c>
      <c r="I64" s="2" t="s">
        <v>96</v>
      </c>
      <c r="J64" s="2" t="s">
        <v>100</v>
      </c>
    </row>
    <row r="65" spans="1:10" x14ac:dyDescent="0.25">
      <c r="A65" s="3">
        <v>46134</v>
      </c>
      <c r="B65" s="4" t="s">
        <v>66</v>
      </c>
      <c r="C65" s="4" t="s">
        <v>88</v>
      </c>
      <c r="D65" s="4" t="s">
        <v>113</v>
      </c>
      <c r="E65" s="4">
        <v>300</v>
      </c>
      <c r="F65" s="4" t="s">
        <v>90</v>
      </c>
      <c r="G65" s="4" t="s">
        <v>70</v>
      </c>
      <c r="H65" s="4" t="s">
        <v>91</v>
      </c>
      <c r="I65" s="4" t="s">
        <v>91</v>
      </c>
      <c r="J65" s="4" t="s">
        <v>159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312E-ACB4-40D8-A139-5D8AA8B72BC1}">
  <dimension ref="A2:B16"/>
  <sheetViews>
    <sheetView workbookViewId="0">
      <selection activeCell="D10" sqref="D10"/>
    </sheetView>
  </sheetViews>
  <sheetFormatPr defaultRowHeight="15" x14ac:dyDescent="0.25"/>
  <cols>
    <col min="1" max="1" width="23.5703125" customWidth="1"/>
    <col min="2" max="2" width="19.85546875" customWidth="1"/>
    <col min="3" max="3" width="11.5703125" customWidth="1"/>
    <col min="4" max="4" width="12.140625" customWidth="1"/>
    <col min="5" max="5" width="10.7109375" customWidth="1"/>
  </cols>
  <sheetData>
    <row r="2" spans="1:2" x14ac:dyDescent="0.25">
      <c r="B2" s="11" t="s">
        <v>180</v>
      </c>
    </row>
    <row r="4" spans="1:2" ht="15.75" x14ac:dyDescent="0.25">
      <c r="A4" s="19" t="s">
        <v>166</v>
      </c>
      <c r="B4" s="19" t="s">
        <v>167</v>
      </c>
    </row>
    <row r="5" spans="1:2" x14ac:dyDescent="0.25">
      <c r="A5" s="1" t="s">
        <v>168</v>
      </c>
      <c r="B5" s="1">
        <f>SUM(Clean_Data_View!E:E)</f>
        <v>13236</v>
      </c>
    </row>
    <row r="6" spans="1:2" x14ac:dyDescent="0.25">
      <c r="A6" s="1" t="s">
        <v>169</v>
      </c>
      <c r="B6" s="1">
        <f>SUMIF(Clean_Data_View!C:C, "Savings", Clean_Data_View!E:E)</f>
        <v>2600</v>
      </c>
    </row>
    <row r="7" spans="1:2" x14ac:dyDescent="0.25">
      <c r="A7" s="1" t="s">
        <v>173</v>
      </c>
      <c r="B7" s="1">
        <f>AVERAGE(Clean_Data_View!E:E)</f>
        <v>220.6</v>
      </c>
    </row>
    <row r="8" spans="1:2" x14ac:dyDescent="0.25">
      <c r="A8" s="1" t="s">
        <v>170</v>
      </c>
      <c r="B8" s="1">
        <f>COUNTIF(Clean_Data_View!F:F, "Happy")</f>
        <v>15</v>
      </c>
    </row>
    <row r="9" spans="1:2" x14ac:dyDescent="0.25">
      <c r="A9" s="1" t="s">
        <v>171</v>
      </c>
      <c r="B9" s="1">
        <f>SUMIF(Clean_Data_View!C:C, "Food", Clean_Data_View!E:E )</f>
        <v>3180</v>
      </c>
    </row>
    <row r="10" spans="1:2" x14ac:dyDescent="0.25">
      <c r="A10" s="1" t="s">
        <v>174</v>
      </c>
      <c r="B10" s="1">
        <f>SUMIF(Clean_Data_View!C:C, "Transport", Clean_Data_View!E:E)</f>
        <v>350</v>
      </c>
    </row>
    <row r="11" spans="1:2" x14ac:dyDescent="0.25">
      <c r="A11" s="1" t="s">
        <v>175</v>
      </c>
      <c r="B11" s="1">
        <f>SUMIF(Clean_Data_View!C:C, "Bills", Clean_Data_View!E:E)</f>
        <v>4660</v>
      </c>
    </row>
    <row r="12" spans="1:2" x14ac:dyDescent="0.25">
      <c r="A12" s="1" t="s">
        <v>176</v>
      </c>
      <c r="B12" s="1">
        <f>SUMIF(Clean_Data_View!C:C, "Entertainment", Clean_Data_View!E:E)</f>
        <v>2446</v>
      </c>
    </row>
    <row r="13" spans="1:2" x14ac:dyDescent="0.25">
      <c r="A13" s="1" t="s">
        <v>177</v>
      </c>
      <c r="B13" s="1">
        <f>COUNTIF(Clean_Data_View!F:F, "Stressed")</f>
        <v>10</v>
      </c>
    </row>
    <row r="14" spans="1:2" x14ac:dyDescent="0.25">
      <c r="A14" s="1" t="s">
        <v>178</v>
      </c>
      <c r="B14" s="1">
        <f>COUNTIF(Clean_Data_View!F:F, "Neutral")</f>
        <v>15</v>
      </c>
    </row>
    <row r="15" spans="1:2" x14ac:dyDescent="0.25">
      <c r="A15" s="1" t="s">
        <v>179</v>
      </c>
      <c r="B15" s="1">
        <f>MAX(Clean_Data_View!E:E)</f>
        <v>1500</v>
      </c>
    </row>
    <row r="16" spans="1:2" x14ac:dyDescent="0.25">
      <c r="A16" s="1" t="s">
        <v>172</v>
      </c>
      <c r="B16" s="18">
        <f>SUMIF(Clean_Data_View!C:C, "Savings",  Clean_Data_View!E:E) / SUM(Clean_Data_View!E:E)</f>
        <v>0.19643396796615292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DA1D-79F8-47B4-9AEA-7D00A65BCA88}">
  <dimension ref="A2:F10"/>
  <sheetViews>
    <sheetView workbookViewId="0">
      <selection activeCell="A5" sqref="A5"/>
    </sheetView>
  </sheetViews>
  <sheetFormatPr defaultRowHeight="15" x14ac:dyDescent="0.25"/>
  <cols>
    <col min="1" max="1" width="13.42578125" bestFit="1" customWidth="1"/>
    <col min="2" max="2" width="14.85546875" bestFit="1" customWidth="1"/>
    <col min="5" max="5" width="8.42578125" customWidth="1"/>
    <col min="6" max="6" width="8.85546875" customWidth="1"/>
    <col min="7" max="7" width="10.7109375" customWidth="1"/>
  </cols>
  <sheetData>
    <row r="2" spans="1:6" x14ac:dyDescent="0.25">
      <c r="F2" s="11" t="s">
        <v>187</v>
      </c>
    </row>
    <row r="4" spans="1:6" x14ac:dyDescent="0.25">
      <c r="A4" s="9" t="s">
        <v>181</v>
      </c>
      <c r="B4" t="s">
        <v>183</v>
      </c>
    </row>
    <row r="5" spans="1:6" x14ac:dyDescent="0.25">
      <c r="A5" s="10" t="s">
        <v>80</v>
      </c>
      <c r="B5">
        <v>4660</v>
      </c>
    </row>
    <row r="6" spans="1:6" x14ac:dyDescent="0.25">
      <c r="A6" s="10" t="s">
        <v>94</v>
      </c>
      <c r="B6">
        <v>2446</v>
      </c>
    </row>
    <row r="7" spans="1:6" x14ac:dyDescent="0.25">
      <c r="A7" s="10" t="s">
        <v>67</v>
      </c>
      <c r="B7">
        <v>3180</v>
      </c>
    </row>
    <row r="8" spans="1:6" x14ac:dyDescent="0.25">
      <c r="A8" s="10" t="s">
        <v>88</v>
      </c>
      <c r="B8">
        <v>2600</v>
      </c>
    </row>
    <row r="9" spans="1:6" x14ac:dyDescent="0.25">
      <c r="A9" s="10" t="s">
        <v>74</v>
      </c>
      <c r="B9">
        <v>350</v>
      </c>
    </row>
    <row r="10" spans="1:6" x14ac:dyDescent="0.25">
      <c r="A10" s="10" t="s">
        <v>182</v>
      </c>
      <c r="B10">
        <v>13236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35A4-E0D5-4535-8DCF-BAA6D31A2DF8}">
  <dimension ref="A2:F11"/>
  <sheetViews>
    <sheetView workbookViewId="0">
      <selection activeCell="B8" sqref="B8"/>
    </sheetView>
  </sheetViews>
  <sheetFormatPr defaultRowHeight="15" x14ac:dyDescent="0.25"/>
  <cols>
    <col min="1" max="1" width="13.42578125" bestFit="1" customWidth="1"/>
    <col min="2" max="2" width="14.85546875" bestFit="1" customWidth="1"/>
    <col min="5" max="5" width="7.28515625" customWidth="1"/>
    <col min="7" max="7" width="10.28515625" customWidth="1"/>
  </cols>
  <sheetData>
    <row r="2" spans="1:6" x14ac:dyDescent="0.25">
      <c r="F2" s="11" t="s">
        <v>186</v>
      </c>
    </row>
    <row r="4" spans="1:6" x14ac:dyDescent="0.25">
      <c r="A4" s="9" t="s">
        <v>181</v>
      </c>
      <c r="B4" t="s">
        <v>183</v>
      </c>
    </row>
    <row r="5" spans="1:6" x14ac:dyDescent="0.25">
      <c r="A5" s="10" t="s">
        <v>111</v>
      </c>
      <c r="B5">
        <v>2250</v>
      </c>
    </row>
    <row r="6" spans="1:6" x14ac:dyDescent="0.25">
      <c r="A6" s="10" t="s">
        <v>69</v>
      </c>
      <c r="B6">
        <v>1729</v>
      </c>
    </row>
    <row r="7" spans="1:6" x14ac:dyDescent="0.25">
      <c r="A7" s="10" t="s">
        <v>76</v>
      </c>
      <c r="B7">
        <v>1700</v>
      </c>
    </row>
    <row r="8" spans="1:6" x14ac:dyDescent="0.25">
      <c r="A8" s="10" t="s">
        <v>90</v>
      </c>
      <c r="B8">
        <v>2600</v>
      </c>
    </row>
    <row r="9" spans="1:6" x14ac:dyDescent="0.25">
      <c r="A9" s="10" t="s">
        <v>131</v>
      </c>
      <c r="B9">
        <v>297</v>
      </c>
    </row>
    <row r="10" spans="1:6" x14ac:dyDescent="0.25">
      <c r="A10" s="10" t="s">
        <v>82</v>
      </c>
      <c r="B10">
        <v>4660</v>
      </c>
    </row>
    <row r="11" spans="1:6" x14ac:dyDescent="0.25">
      <c r="A11" s="10" t="s">
        <v>182</v>
      </c>
      <c r="B11">
        <v>13236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CA66-8289-4768-9C40-818DD814542B}">
  <dimension ref="A2:F11"/>
  <sheetViews>
    <sheetView workbookViewId="0">
      <selection activeCell="F5" sqref="F5"/>
    </sheetView>
  </sheetViews>
  <sheetFormatPr defaultRowHeight="15" x14ac:dyDescent="0.25"/>
  <cols>
    <col min="1" max="1" width="13.42578125" bestFit="1" customWidth="1"/>
    <col min="2" max="2" width="14.42578125" bestFit="1" customWidth="1"/>
  </cols>
  <sheetData>
    <row r="2" spans="1:6" x14ac:dyDescent="0.25">
      <c r="F2" s="11" t="s">
        <v>185</v>
      </c>
    </row>
    <row r="4" spans="1:6" x14ac:dyDescent="0.25">
      <c r="A4" s="9" t="s">
        <v>181</v>
      </c>
      <c r="B4" t="s">
        <v>184</v>
      </c>
    </row>
    <row r="5" spans="1:6" x14ac:dyDescent="0.25">
      <c r="A5" s="10" t="s">
        <v>111</v>
      </c>
      <c r="B5">
        <v>8</v>
      </c>
    </row>
    <row r="6" spans="1:6" x14ac:dyDescent="0.25">
      <c r="A6" s="10" t="s">
        <v>69</v>
      </c>
      <c r="B6">
        <v>15</v>
      </c>
    </row>
    <row r="7" spans="1:6" x14ac:dyDescent="0.25">
      <c r="A7" s="10" t="s">
        <v>76</v>
      </c>
      <c r="B7">
        <v>15</v>
      </c>
    </row>
    <row r="8" spans="1:6" x14ac:dyDescent="0.25">
      <c r="A8" s="10" t="s">
        <v>90</v>
      </c>
      <c r="B8">
        <v>9</v>
      </c>
    </row>
    <row r="9" spans="1:6" x14ac:dyDescent="0.25">
      <c r="A9" s="10" t="s">
        <v>131</v>
      </c>
      <c r="B9">
        <v>3</v>
      </c>
    </row>
    <row r="10" spans="1:6" x14ac:dyDescent="0.25">
      <c r="A10" s="10" t="s">
        <v>82</v>
      </c>
      <c r="B10">
        <v>10</v>
      </c>
    </row>
    <row r="11" spans="1:6" x14ac:dyDescent="0.25">
      <c r="A11" s="10" t="s">
        <v>182</v>
      </c>
      <c r="B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852D-325F-4B72-B0DC-7C6B4017193F}">
  <dimension ref="A2:F10"/>
  <sheetViews>
    <sheetView workbookViewId="0">
      <selection activeCell="H4" sqref="H4"/>
    </sheetView>
  </sheetViews>
  <sheetFormatPr defaultRowHeight="15" x14ac:dyDescent="0.25"/>
  <cols>
    <col min="1" max="1" width="13.42578125" bestFit="1" customWidth="1"/>
    <col min="2" max="2" width="24.85546875" bestFit="1" customWidth="1"/>
  </cols>
  <sheetData>
    <row r="2" spans="1:6" x14ac:dyDescent="0.25">
      <c r="F2" s="12" t="s">
        <v>192</v>
      </c>
    </row>
    <row r="4" spans="1:6" x14ac:dyDescent="0.25">
      <c r="A4" s="9" t="s">
        <v>181</v>
      </c>
      <c r="B4" t="s">
        <v>190</v>
      </c>
    </row>
    <row r="5" spans="1:6" x14ac:dyDescent="0.25">
      <c r="A5" s="10" t="s">
        <v>92</v>
      </c>
      <c r="B5">
        <v>8</v>
      </c>
    </row>
    <row r="6" spans="1:6" x14ac:dyDescent="0.25">
      <c r="A6" s="10" t="s">
        <v>96</v>
      </c>
      <c r="B6">
        <v>27</v>
      </c>
    </row>
    <row r="7" spans="1:6" x14ac:dyDescent="0.25">
      <c r="A7" s="10" t="s">
        <v>72</v>
      </c>
      <c r="B7">
        <v>14</v>
      </c>
    </row>
    <row r="8" spans="1:6" x14ac:dyDescent="0.25">
      <c r="A8" s="10" t="s">
        <v>85</v>
      </c>
      <c r="B8">
        <v>10</v>
      </c>
    </row>
    <row r="9" spans="1:6" x14ac:dyDescent="0.25">
      <c r="A9" s="10" t="s">
        <v>91</v>
      </c>
      <c r="B9">
        <v>1</v>
      </c>
    </row>
    <row r="10" spans="1:6" x14ac:dyDescent="0.25">
      <c r="A10" s="10" t="s">
        <v>182</v>
      </c>
      <c r="B10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8200-0768-4820-8AE1-B366305A1F27}">
  <dimension ref="A2:F13"/>
  <sheetViews>
    <sheetView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14.85546875" bestFit="1" customWidth="1"/>
  </cols>
  <sheetData>
    <row r="2" spans="1:6" x14ac:dyDescent="0.25">
      <c r="F2" s="12" t="s">
        <v>194</v>
      </c>
    </row>
    <row r="4" spans="1:6" x14ac:dyDescent="0.25">
      <c r="A4" s="9" t="s">
        <v>181</v>
      </c>
      <c r="B4" t="s">
        <v>183</v>
      </c>
    </row>
    <row r="5" spans="1:6" x14ac:dyDescent="0.25">
      <c r="A5" s="10" t="s">
        <v>105</v>
      </c>
      <c r="B5">
        <v>935</v>
      </c>
    </row>
    <row r="6" spans="1:6" x14ac:dyDescent="0.25">
      <c r="A6" s="10" t="s">
        <v>116</v>
      </c>
      <c r="B6">
        <v>390</v>
      </c>
    </row>
    <row r="7" spans="1:6" x14ac:dyDescent="0.25">
      <c r="A7" s="10" t="s">
        <v>84</v>
      </c>
      <c r="B7">
        <v>4926</v>
      </c>
    </row>
    <row r="8" spans="1:6" x14ac:dyDescent="0.25">
      <c r="A8" s="10" t="s">
        <v>71</v>
      </c>
      <c r="B8">
        <v>1960</v>
      </c>
    </row>
    <row r="9" spans="1:6" x14ac:dyDescent="0.25">
      <c r="A9" s="10" t="s">
        <v>91</v>
      </c>
      <c r="B9">
        <v>2750</v>
      </c>
    </row>
    <row r="10" spans="1:6" x14ac:dyDescent="0.25">
      <c r="A10" s="10" t="s">
        <v>110</v>
      </c>
      <c r="B10">
        <v>285</v>
      </c>
    </row>
    <row r="11" spans="1:6" x14ac:dyDescent="0.25">
      <c r="A11" s="10" t="s">
        <v>78</v>
      </c>
      <c r="B11">
        <v>640</v>
      </c>
    </row>
    <row r="12" spans="1:6" x14ac:dyDescent="0.25">
      <c r="A12" s="10" t="s">
        <v>99</v>
      </c>
      <c r="B12">
        <v>1350</v>
      </c>
    </row>
    <row r="13" spans="1:6" x14ac:dyDescent="0.25">
      <c r="A13" s="10" t="s">
        <v>182</v>
      </c>
      <c r="B13">
        <v>13236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CC10-E294-4A0A-BE7D-D1259B0B02AD}">
  <dimension ref="B2:L72"/>
  <sheetViews>
    <sheetView tabSelected="1" workbookViewId="0">
      <selection activeCell="I80" sqref="I80"/>
    </sheetView>
  </sheetViews>
  <sheetFormatPr defaultRowHeight="15" x14ac:dyDescent="0.25"/>
  <sheetData>
    <row r="2" spans="6:7" ht="31.5" x14ac:dyDescent="0.5">
      <c r="F2" s="14" t="s">
        <v>195</v>
      </c>
      <c r="G2" s="13"/>
    </row>
    <row r="17" spans="2:12" ht="15.75" x14ac:dyDescent="0.25">
      <c r="B17" s="16" t="s">
        <v>188</v>
      </c>
      <c r="C17" s="17"/>
      <c r="D17" s="17"/>
      <c r="L17" s="16" t="s">
        <v>189</v>
      </c>
    </row>
    <row r="36" spans="2:12" ht="15.75" x14ac:dyDescent="0.25">
      <c r="B36" s="16" t="s">
        <v>188</v>
      </c>
      <c r="L36" s="16" t="s">
        <v>191</v>
      </c>
    </row>
    <row r="54" spans="2:2" ht="15.75" x14ac:dyDescent="0.25">
      <c r="B54" s="16" t="s">
        <v>193</v>
      </c>
    </row>
    <row r="72" spans="2:2" ht="18.75" x14ac:dyDescent="0.3">
      <c r="B72" s="15" t="s">
        <v>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Clean_Data_View</vt:lpstr>
      <vt:lpstr>Calculation</vt:lpstr>
      <vt:lpstr>Pivot1</vt:lpstr>
      <vt:lpstr>Pivot2</vt:lpstr>
      <vt:lpstr>Pivot3</vt:lpstr>
      <vt:lpstr>Pivot4</vt:lpstr>
      <vt:lpstr>Pivot5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Raaff</dc:creator>
  <cp:lastModifiedBy>Linda Raaff</cp:lastModifiedBy>
  <dcterms:created xsi:type="dcterms:W3CDTF">2026-04-23T18:22:27Z</dcterms:created>
  <dcterms:modified xsi:type="dcterms:W3CDTF">2026-06-10T15:56:33Z</dcterms:modified>
</cp:coreProperties>
</file>